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룰" sheetId="1" r:id="rId5"/>
    <sheet state="visible" name="플레이어" sheetId="2" r:id="rId6"/>
    <sheet state="visible" name="입력" sheetId="3" r:id="rId7"/>
    <sheet state="visible" name="기록" sheetId="4" r:id="rId8"/>
    <sheet state="visible" name="통계" sheetId="5" r:id="rId9"/>
    <sheet state="visible" name="명예의 전당" sheetId="6" r:id="rId10"/>
    <sheet state="visible" name="라이벌비교" sheetId="7" r:id="rId11"/>
    <sheet state="visible" name="수정사항" sheetId="8" r:id="rId12"/>
  </sheets>
  <definedNames>
    <definedName hidden="1" localSheetId="3" name="_xlnm._FilterDatabase">'기록'!$A$1:$F$989</definedName>
  </definedNames>
  <calcPr/>
</workbook>
</file>

<file path=xl/sharedStrings.xml><?xml version="1.0" encoding="utf-8"?>
<sst xmlns="http://schemas.openxmlformats.org/spreadsheetml/2006/main" count="2246" uniqueCount="175">
  <si>
    <t>1) 기본 룰
- 4인 반장전
- 25000점 시작, 30000점 반환
- 10-20 우마
- 적도라, 깡도라, 뒷도라 있음, 쿠이탕 있음 
- 더블리치 있음
- 셈 역만 인정
- 형식 텐파이(역 없는 텐파이) 허용
- 유국 시 연장 유지
- 들통(토비) 있음
- 동점자 발생 시 첫 친에 가까운 자리 순서대로 순위 결정
- 서입 있음
- 화료 중지(오라스 친이 화료 시 대국 종료 여부 선택) 불가
- 더블론시 방총자에서 가까운 사람이 리치봉 획득
- 기타 사정으로 남4국이 끝나기전의 종료 시 기록에서 제외
- 깡이후 신도라표시패 오픈은 안깡(암깡) = 즉시 / 명깡 = 타패 이후
  (2020 / 08 / 08 추가)
- 리치, 치, 뻥(언제든 가능) / 깡(패산에 쯔모할 패가 1개 이상일 때 가능)
- 벌점 : 잘못된 발성(치,펑,깡) 시에만 적용
- 화료불가 : 잘못된 발성(리치, 론, 쯔모) 시에만 적용
- 도중유국 : 친의 노텐을 제외하고 친이 넘어가지 않음</t>
  </si>
  <si>
    <t>2) 로컬(?) 룰
 - 더블 론 있음(트리플 론 가능) - 2025.05.08 개정
 - 팔연장 인정
 - 5연장 이상 2판 묶기 있음
 - 책임지불 있음(대삼원, 대사희, 사깡즈)
 - 사암각, 국사무쌍, 구련보등의 더블역만 조건 있음. 대사희(더블역만)</t>
  </si>
  <si>
    <t>3) FAQ
 - 친의 촌보는 친이 넘어가지 않음
 - 자가 촌보를 한 경우 해당 국을 취소하고 다시 진행
   (해당 국의 벌점 및 리치 공탁금은 해당 대국자에게 반환)
 - 자의 유국만관 발생 시 친의 텐파이 여부 상관 없이 친이 넘어감
 - 창깡 시의 깡도라는 인정하지 않음
 - 네 번째 깡을 친 대국자가 영상패를 가져오고 타패한 후, 타가의 론이 없으면 4깡유국 발생
 - 실수로 왕패 중에서 다른 패를 뒤집었을 경우, 실수로 뒤집은 패를 보이지 않게 
   제자리에 돌려놓고 다시 정규 표시패를 뒤집어 도라 표시패로 한다.</t>
  </si>
  <si>
    <t>- 촌보 : 모든 패를 합쳐 5개 이상 공개시, 론 쯔모 발성 후 패 공개하였을때 대기 패가 아니였을경우, 리치 후 유국되었을경우 텐파이 공개시 텐파이가 아닐 경우</t>
  </si>
  <si>
    <t>참고 : https://kml.or.kr/?page_id=62&amp;uid=945&amp;mod=document&amp;pageid=1</t>
  </si>
  <si>
    <t>조연</t>
  </si>
  <si>
    <t>댕댕</t>
  </si>
  <si>
    <t>고꿍</t>
  </si>
  <si>
    <t>절미</t>
  </si>
  <si>
    <t>루젼</t>
  </si>
  <si>
    <t>넥닉수</t>
  </si>
  <si>
    <t>레이</t>
  </si>
  <si>
    <t>한토</t>
  </si>
  <si>
    <t>막장</t>
  </si>
  <si>
    <t>나방</t>
  </si>
  <si>
    <t>라비</t>
  </si>
  <si>
    <t>서림</t>
  </si>
  <si>
    <t>밍밍</t>
  </si>
  <si>
    <t>게스트</t>
  </si>
  <si>
    <t>호또</t>
  </si>
  <si>
    <t>으나</t>
  </si>
  <si>
    <t>이비</t>
  </si>
  <si>
    <t>블루</t>
  </si>
  <si>
    <t>아초</t>
  </si>
  <si>
    <t>노세</t>
  </si>
  <si>
    <t>달달</t>
  </si>
  <si>
    <t>코니</t>
  </si>
  <si>
    <t>춘식</t>
  </si>
  <si>
    <t>누리</t>
  </si>
  <si>
    <t>식빵</t>
  </si>
  <si>
    <t>카롱</t>
  </si>
  <si>
    <t>쇼</t>
  </si>
  <si>
    <t>촌장</t>
  </si>
  <si>
    <t>추워</t>
  </si>
  <si>
    <t>채또</t>
  </si>
  <si>
    <t>물냉</t>
  </si>
  <si>
    <t>DM</t>
  </si>
  <si>
    <t>또또</t>
  </si>
  <si>
    <t>라운드</t>
  </si>
  <si>
    <t>&lt;- 라운드입력</t>
  </si>
  <si>
    <t>화료</t>
  </si>
  <si>
    <t>위치</t>
  </si>
  <si>
    <t>플레이어</t>
  </si>
  <si>
    <t>점수</t>
  </si>
  <si>
    <t>순위</t>
  </si>
  <si>
    <t>최종점수</t>
  </si>
  <si>
    <t>만관</t>
  </si>
  <si>
    <t>하네만</t>
  </si>
  <si>
    <t>배만</t>
  </si>
  <si>
    <t>삼배만</t>
  </si>
  <si>
    <t>역만</t>
  </si>
  <si>
    <t>헤아림 역만</t>
  </si>
  <si>
    <t>더블 역만</t>
  </si>
  <si>
    <t>동</t>
  </si>
  <si>
    <t>남</t>
  </si>
  <si>
    <t>서</t>
  </si>
  <si>
    <t>북</t>
  </si>
  <si>
    <t xml:space="preserve"> 기록 저장</t>
  </si>
  <si>
    <t>날짜</t>
  </si>
  <si>
    <t>바람</t>
  </si>
  <si>
    <t>이름</t>
  </si>
  <si>
    <t>우마</t>
  </si>
  <si>
    <t>시즌</t>
  </si>
  <si>
    <t>2026</t>
  </si>
  <si>
    <t>평균순위</t>
  </si>
  <si>
    <t>평균우마</t>
  </si>
  <si>
    <t>총 우마</t>
  </si>
  <si>
    <t>총 누적 경기수</t>
  </si>
  <si>
    <t>총 경기수</t>
  </si>
  <si>
    <t>1위율</t>
  </si>
  <si>
    <t>2위율</t>
  </si>
  <si>
    <t>3위율</t>
  </si>
  <si>
    <t>4위율</t>
  </si>
  <si>
    <t>토비율</t>
  </si>
  <si>
    <t>연대율</t>
  </si>
  <si>
    <t>최고 점수</t>
  </si>
  <si>
    <t>최저 점수</t>
  </si>
  <si>
    <t>평균 득점</t>
  </si>
  <si>
    <t>평균 우마</t>
  </si>
  <si>
    <t>평균 순위</t>
  </si>
  <si>
    <t>헤아림역만</t>
  </si>
  <si>
    <t>더블역만 이상</t>
  </si>
  <si>
    <t>최근 10경기
(우마기준)</t>
  </si>
  <si>
    <t>동 평균순위</t>
  </si>
  <si>
    <t>남 평균순위</t>
  </si>
  <si>
    <t>서 평균 순위</t>
  </si>
  <si>
    <t>북 평균순위</t>
  </si>
  <si>
    <t>동 착석횟수</t>
  </si>
  <si>
    <t>남 착석횟수</t>
  </si>
  <si>
    <t>서 착석횟수</t>
  </si>
  <si>
    <t>북 착석 횟수</t>
  </si>
  <si>
    <t xml:space="preserve"> 국 이상 기준</t>
  </si>
  <si>
    <t>점수가 동점인경우 판수 우선순위</t>
  </si>
  <si>
    <t>썩은물 목록</t>
  </si>
  <si>
    <t>타이틀</t>
  </si>
  <si>
    <t>항목</t>
  </si>
  <si>
    <t>1위</t>
  </si>
  <si>
    <t>2위</t>
  </si>
  <si>
    <t>3위</t>
  </si>
  <si>
    <t>🏫 개근상</t>
  </si>
  <si>
    <t>최다경기</t>
  </si>
  <si>
    <t>👑 시즌 MVP</t>
  </si>
  <si>
    <t>👑천상천하</t>
  </si>
  <si>
    <t>👊 파괴신</t>
  </si>
  <si>
    <t>평균득점</t>
  </si>
  <si>
    <t>🎯 승률왕</t>
  </si>
  <si>
    <t>🚪뒤에서 1등</t>
  </si>
  <si>
    <t>🛡️ 철벽 수비</t>
  </si>
  <si>
    <t>4위율(최저)</t>
  </si>
  <si>
    <t>🔝상위권 지박령</t>
  </si>
  <si>
    <t>💪금강불괴</t>
  </si>
  <si>
    <t>토비방어율</t>
  </si>
  <si>
    <t>🎓 수석 졸업</t>
  </si>
  <si>
    <t>💣 한방의 제왕</t>
  </si>
  <si>
    <t>종료시 최고점</t>
  </si>
  <si>
    <t>📉 나락의 끝</t>
  </si>
  <si>
    <t>종료시 최저점</t>
  </si>
  <si>
    <t>😭 억울한 2등</t>
  </si>
  <si>
    <t>2위 최고점</t>
  </si>
  <si>
    <t>💸 기부천사</t>
  </si>
  <si>
    <t>*고인물 4명 제외</t>
  </si>
  <si>
    <t>💪	금강불괴</t>
  </si>
  <si>
    <t>구분</t>
  </si>
  <si>
    <t>Player1</t>
  </si>
  <si>
    <t>Player2</t>
  </si>
  <si>
    <t>이름 선택</t>
  </si>
  <si>
    <t>개인통계</t>
  </si>
  <si>
    <t>전체기록</t>
  </si>
  <si>
    <t>상대전적</t>
  </si>
  <si>
    <t>맞대결성적</t>
  </si>
  <si>
    <t>경기수</t>
  </si>
  <si>
    <t>상대전적 우세</t>
  </si>
  <si>
    <t>상대전적(순위)</t>
  </si>
  <si>
    <t>🤝영혼의 파트너?</t>
  </si>
  <si>
    <t>순위 합계</t>
  </si>
  <si>
    <t>의미</t>
  </si>
  <si>
    <t>~ 4.4 이하</t>
  </si>
  <si>
    <t>🔥 환상의 짝꿍</t>
  </si>
  <si>
    <t>둘이 합쳐서 평균 2.2등 이내. (상위권 독식)</t>
  </si>
  <si>
    <t>4.5 ~ 5.1</t>
  </si>
  <si>
    <t>🤝 평범한 사이</t>
  </si>
  <si>
    <t>평균 5.0(중간) 근처. 서로 큰 영향 없음.</t>
  </si>
  <si>
    <t>5.2 ~ 5.9</t>
  </si>
  <si>
    <t>💣 억제기 듀오</t>
  </si>
  <si>
    <t>둘 중 하나가 망하거나, 둘 다 조금씩 못함.</t>
  </si>
  <si>
    <t>6.0 이상 ~</t>
  </si>
  <si>
    <t>☠️ 지옥의 파티</t>
  </si>
  <si>
    <t>둘이 만나면 무조건 깔아주는 덤앤더머.</t>
  </si>
  <si>
    <t>No</t>
  </si>
  <si>
    <t>일자</t>
  </si>
  <si>
    <t>편집자</t>
  </si>
  <si>
    <t>수정내용</t>
  </si>
  <si>
    <t>비고</t>
  </si>
  <si>
    <t>업데이트 예정</t>
  </si>
  <si>
    <t>년도별/누적 기록, 통계, 명전 구분 필요</t>
  </si>
  <si>
    <t>25.11.25</t>
  </si>
  <si>
    <t>통계시트 배치 변경 (틀고정)</t>
  </si>
  <si>
    <t>A~E열 미삭제(숨김)</t>
  </si>
  <si>
    <t>역만 작성할 수 있는 란 생성</t>
  </si>
  <si>
    <t>(역만 스안커, 녹일, or 역만 달성자)?</t>
  </si>
  <si>
    <t>25.11.27</t>
  </si>
  <si>
    <t>마우스용 기록 저장 버튼 삭제</t>
  </si>
  <si>
    <t>만관이상 / 대국수 기록 추가</t>
  </si>
  <si>
    <t>만관~더블역만 기록 기능 추가</t>
  </si>
  <si>
    <t>통계시트 사람별 자리 횟수</t>
  </si>
  <si>
    <t>25.11.30</t>
  </si>
  <si>
    <t>라이벌비교 시트 추가 누적기록으로 계산</t>
  </si>
  <si>
    <t>명예의전당 고인물 제외 표 생성</t>
  </si>
  <si>
    <t>25.12.22</t>
  </si>
  <si>
    <t>뉴멤버 기록시 플레이어에 멤버 쓰면 기록작성 가능. 통계시트의 경우 옆 셀 복붙 필요</t>
  </si>
  <si>
    <t>통계시트의 좌석착석횟수 추가</t>
  </si>
  <si>
    <t>25.12.24</t>
  </si>
  <si>
    <t>통계시트 연도별 기록 추가</t>
  </si>
  <si>
    <t>25.12.29</t>
  </si>
  <si>
    <t>명예의 전당 연도별 추가 (통계시트의 연도와 연동)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</si>
</sst>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#,##0.000"/>
    <numFmt numFmtId="166" formatCode="0.0"/>
    <numFmt numFmtId="167" formatCode="0.000"/>
  </numFmts>
  <fonts count="23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sz val="12.0"/>
      <color theme="1"/>
      <name val="Arial"/>
      <scheme val="minor"/>
    </font>
    <font>
      <sz val="15.0"/>
      <color theme="1"/>
      <name val="Arial"/>
      <scheme val="minor"/>
    </font>
    <font>
      <sz val="15.0"/>
      <color rgb="FF1F1F1F"/>
      <name val="&quot;Google Sans Text&quot;"/>
    </font>
    <font>
      <color theme="1"/>
      <name val="Arial"/>
      <scheme val="minor"/>
    </font>
    <font>
      <b/>
      <sz val="15.0"/>
      <color rgb="FF1F1F1F"/>
      <name val="&quot;Google Sans Text&quot;"/>
    </font>
    <font>
      <sz val="12.0"/>
      <color rgb="FFE3E3E3"/>
      <name val="&quot;Google Sans Flex&quot;"/>
    </font>
    <font>
      <sz val="12.0"/>
      <color rgb="FF1F1F1F"/>
      <name val="&quot;Google Sans Text&quot;"/>
    </font>
    <font>
      <b/>
      <sz val="10.0"/>
      <color rgb="FF1F1F1F"/>
      <name val="&quot;Google Sans Text&quot;"/>
    </font>
    <font>
      <b/>
      <color rgb="FF1F1F1F"/>
      <name val="&quot;Google Sans Text&quot;"/>
    </font>
    <font>
      <b/>
      <color theme="1"/>
      <name val="Arial"/>
      <scheme val="minor"/>
    </font>
    <font>
      <b/>
      <sz val="13.0"/>
      <color rgb="FF1F1F1F"/>
      <name val="&quot;Google Sans Text&quot;"/>
    </font>
    <font>
      <b/>
      <color rgb="FFCC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/>
    <font>
      <b/>
      <color rgb="FFCCCCCC"/>
      <name val="Arial"/>
      <scheme val="minor"/>
    </font>
    <font>
      <color rgb="FFFF0000"/>
      <name val="Arial"/>
      <scheme val="minor"/>
    </font>
    <font>
      <b/>
      <color rgb="FFE3E3E3"/>
      <name val="Arial"/>
      <scheme val="minor"/>
    </font>
    <font>
      <color rgb="FF1F1F1F"/>
      <name val="&quot;Google Sans Text&quot;"/>
    </font>
    <font>
      <color rgb="FFCC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82A2C"/>
        <bgColor rgb="FF282A2C"/>
      </patternFill>
    </fill>
    <fill>
      <patternFill patternType="solid">
        <fgColor rgb="FFFFD700"/>
        <bgColor rgb="FFFFD700"/>
      </patternFill>
    </fill>
    <fill>
      <patternFill patternType="solid">
        <fgColor theme="0"/>
        <bgColor theme="0"/>
      </patternFill>
    </fill>
    <fill>
      <patternFill patternType="solid">
        <fgColor rgb="FFB0B0B0"/>
        <bgColor rgb="FFB0B0B0"/>
      </patternFill>
    </fill>
    <fill>
      <patternFill patternType="solid">
        <fgColor rgb="FFA0522D"/>
        <bgColor rgb="FFA0522D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Font="1"/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2" fontId="8" numFmtId="0" xfId="0" applyAlignment="1" applyFill="1" applyFont="1">
      <alignment horizontal="center" readingOrder="0"/>
    </xf>
    <xf borderId="0" fillId="0" fontId="3" numFmtId="1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10" numFmtId="49" xfId="0" applyAlignment="1" applyFont="1" applyNumberFormat="1">
      <alignment horizontal="center" readingOrder="0" vertical="center"/>
    </xf>
    <xf borderId="0" fillId="0" fontId="10" numFmtId="3" xfId="0" applyAlignment="1" applyFont="1" applyNumberFormat="1">
      <alignment horizontal="center" readingOrder="0" vertical="center"/>
    </xf>
    <xf borderId="0" fillId="0" fontId="6" numFmtId="4" xfId="0" applyFont="1" applyNumberFormat="1"/>
    <xf borderId="0" fillId="0" fontId="6" numFmtId="164" xfId="0" applyFont="1" applyNumberFormat="1"/>
    <xf borderId="0" fillId="0" fontId="6" numFmtId="3" xfId="0" applyFont="1" applyNumberFormat="1"/>
    <xf borderId="0" fillId="0" fontId="12" numFmtId="0" xfId="0" applyFont="1"/>
    <xf borderId="0" fillId="0" fontId="12" numFmtId="0" xfId="0" applyFont="1"/>
    <xf borderId="0" fillId="0" fontId="12" numFmtId="0" xfId="0" applyAlignment="1" applyFont="1">
      <alignment horizontal="center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13" numFmtId="3" xfId="0" applyAlignment="1" applyFont="1" applyNumberFormat="1">
      <alignment horizontal="center" readingOrder="0" vertical="center"/>
    </xf>
    <xf borderId="0" fillId="0" fontId="11" numFmtId="165" xfId="0" applyAlignment="1" applyFont="1" applyNumberFormat="1">
      <alignment horizontal="center" readingOrder="0"/>
    </xf>
    <xf borderId="1" fillId="0" fontId="6" numFmtId="165" xfId="0" applyAlignment="1" applyBorder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0" fillId="0" fontId="11" numFmtId="2" xfId="0" applyAlignment="1" applyFont="1" applyNumberFormat="1">
      <alignment horizontal="center" readingOrder="0"/>
    </xf>
    <xf borderId="1" fillId="0" fontId="6" numFmtId="2" xfId="0" applyAlignment="1" applyBorder="1" applyFont="1" applyNumberFormat="1">
      <alignment horizontal="center"/>
    </xf>
    <xf borderId="0" fillId="0" fontId="6" numFmtId="2" xfId="0" applyAlignment="1" applyFont="1" applyNumberFormat="1">
      <alignment horizontal="center"/>
    </xf>
    <xf borderId="0" fillId="0" fontId="11" numFmtId="3" xfId="0" applyAlignment="1" applyFont="1" applyNumberFormat="1">
      <alignment horizontal="center" readingOrder="0"/>
    </xf>
    <xf borderId="1" fillId="0" fontId="6" numFmtId="3" xfId="0" applyAlignment="1" applyBorder="1" applyFont="1" applyNumberFormat="1">
      <alignment horizontal="center"/>
    </xf>
    <xf borderId="0" fillId="0" fontId="6" numFmtId="3" xfId="0" applyAlignment="1" applyFont="1" applyNumberFormat="1">
      <alignment horizontal="center"/>
    </xf>
    <xf borderId="0" fillId="0" fontId="11" numFmtId="1" xfId="0" applyAlignment="1" applyFont="1" applyNumberFormat="1">
      <alignment horizontal="center" readingOrder="0"/>
    </xf>
    <xf borderId="1" fillId="0" fontId="6" numFmtId="1" xfId="0" applyAlignment="1" applyBorder="1" applyFont="1" applyNumberFormat="1">
      <alignment horizontal="center"/>
    </xf>
    <xf borderId="0" fillId="0" fontId="6" numFmtId="1" xfId="0" applyAlignment="1" applyFont="1" applyNumberFormat="1">
      <alignment horizontal="center"/>
    </xf>
    <xf borderId="1" fillId="0" fontId="6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1" fillId="0" fontId="6" numFmtId="2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12" numFmtId="49" xfId="0" applyAlignment="1" applyFont="1" applyNumberFormat="1">
      <alignment horizontal="center" readingOrder="0"/>
    </xf>
    <xf borderId="0" fillId="0" fontId="14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2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3" fillId="0" fontId="16" numFmtId="0" xfId="0" applyAlignment="1" applyBorder="1" applyFont="1">
      <alignment horizontal="center" readingOrder="0"/>
    </xf>
    <xf borderId="4" fillId="0" fontId="17" numFmtId="0" xfId="0" applyBorder="1" applyFont="1"/>
    <xf borderId="3" fillId="0" fontId="6" numFmtId="0" xfId="0" applyAlignment="1" applyBorder="1" applyFont="1">
      <alignment horizontal="center" readingOrder="0"/>
    </xf>
    <xf borderId="5" fillId="0" fontId="17" numFmtId="0" xfId="0" applyBorder="1" applyFont="1"/>
    <xf borderId="1" fillId="0" fontId="12" numFmtId="0" xfId="0" applyAlignment="1" applyBorder="1" applyFont="1">
      <alignment horizontal="left" readingOrder="0"/>
    </xf>
    <xf borderId="1" fillId="3" fontId="12" numFmtId="0" xfId="0" applyAlignment="1" applyBorder="1" applyFill="1" applyFont="1">
      <alignment horizontal="center"/>
    </xf>
    <xf borderId="1" fillId="4" fontId="6" numFmtId="1" xfId="0" applyAlignment="1" applyBorder="1" applyFill="1" applyFont="1" applyNumberFormat="1">
      <alignment horizontal="center"/>
    </xf>
    <xf borderId="1" fillId="5" fontId="12" numFmtId="0" xfId="0" applyAlignment="1" applyBorder="1" applyFill="1" applyFont="1">
      <alignment horizontal="center"/>
    </xf>
    <xf borderId="1" fillId="6" fontId="18" numFmtId="0" xfId="0" applyAlignment="1" applyBorder="1" applyFill="1" applyFont="1">
      <alignment horizontal="center"/>
    </xf>
    <xf borderId="1" fillId="4" fontId="6" numFmtId="0" xfId="0" applyAlignment="1" applyBorder="1" applyFont="1">
      <alignment horizontal="center"/>
    </xf>
    <xf borderId="1" fillId="4" fontId="6" numFmtId="166" xfId="0" applyAlignment="1" applyBorder="1" applyFont="1" applyNumberFormat="1">
      <alignment horizontal="center"/>
    </xf>
    <xf borderId="6" fillId="0" fontId="17" numFmtId="0" xfId="0" applyBorder="1" applyFont="1"/>
    <xf borderId="1" fillId="4" fontId="6" numFmtId="2" xfId="0" applyAlignment="1" applyBorder="1" applyFont="1" applyNumberFormat="1">
      <alignment horizontal="center"/>
    </xf>
    <xf borderId="1" fillId="4" fontId="6" numFmtId="3" xfId="0" applyAlignment="1" applyBorder="1" applyFont="1" applyNumberFormat="1">
      <alignment horizontal="center" readingOrder="0"/>
    </xf>
    <xf borderId="1" fillId="4" fontId="6" numFmtId="3" xfId="0" applyAlignment="1" applyBorder="1" applyFont="1" applyNumberFormat="1">
      <alignment horizontal="center"/>
    </xf>
    <xf borderId="1" fillId="4" fontId="6" numFmtId="167" xfId="0" applyAlignment="1" applyBorder="1" applyFont="1" applyNumberFormat="1">
      <alignment horizontal="center"/>
    </xf>
    <xf borderId="0" fillId="0" fontId="12" numFmtId="0" xfId="0" applyAlignment="1" applyFont="1">
      <alignment readingOrder="0"/>
    </xf>
    <xf borderId="1" fillId="0" fontId="19" numFmtId="0" xfId="0" applyAlignment="1" applyBorder="1" applyFont="1">
      <alignment horizontal="center" readingOrder="0"/>
    </xf>
    <xf borderId="0" fillId="0" fontId="6" numFmtId="2" xfId="0" applyFont="1" applyNumberFormat="1"/>
    <xf borderId="0" fillId="0" fontId="6" numFmtId="49" xfId="0" applyAlignment="1" applyFont="1" applyNumberFormat="1">
      <alignment horizontal="center" readingOrder="0"/>
    </xf>
    <xf borderId="1" fillId="3" fontId="12" numFmtId="0" xfId="0" applyAlignment="1" applyBorder="1" applyFont="1">
      <alignment horizontal="center" readingOrder="0"/>
    </xf>
    <xf borderId="1" fillId="5" fontId="12" numFmtId="0" xfId="0" applyAlignment="1" applyBorder="1" applyFont="1">
      <alignment horizontal="center" readingOrder="0"/>
    </xf>
    <xf borderId="1" fillId="6" fontId="20" numFmtId="0" xfId="0" applyAlignment="1" applyBorder="1" applyFont="1">
      <alignment horizontal="center" readingOrder="0"/>
    </xf>
    <xf borderId="0" fillId="4" fontId="12" numFmtId="0" xfId="0" applyAlignment="1" applyFont="1">
      <alignment horizontal="center" readingOrder="0"/>
    </xf>
    <xf borderId="1" fillId="6" fontId="20" numFmtId="0" xfId="0" applyAlignment="1" applyBorder="1" applyFont="1">
      <alignment horizontal="center"/>
    </xf>
    <xf borderId="1" fillId="0" fontId="6" numFmtId="167" xfId="0" applyAlignment="1" applyBorder="1" applyFont="1" applyNumberFormat="1">
      <alignment horizontal="center"/>
    </xf>
    <xf borderId="1" fillId="0" fontId="12" numFmtId="0" xfId="0" applyAlignment="1" applyBorder="1" applyFont="1">
      <alignment readingOrder="0"/>
    </xf>
    <xf borderId="1" fillId="7" fontId="6" numFmtId="0" xfId="0" applyAlignment="1" applyBorder="1" applyFill="1" applyFont="1">
      <alignment horizontal="center" readingOrder="0"/>
    </xf>
    <xf borderId="3" fillId="7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/>
    </xf>
    <xf borderId="0" fillId="0" fontId="2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2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theme="7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</row>
    <row r="2">
      <c r="A2" s="3" t="s">
        <v>1</v>
      </c>
      <c r="B2" s="2"/>
      <c r="C2" s="2"/>
      <c r="D2" s="2"/>
      <c r="E2" s="2"/>
    </row>
    <row r="3">
      <c r="A3" s="3" t="s">
        <v>2</v>
      </c>
      <c r="B3" s="2"/>
      <c r="C3" s="2"/>
      <c r="D3" s="2"/>
      <c r="E3" s="2"/>
    </row>
    <row r="4">
      <c r="A4" s="4" t="s">
        <v>3</v>
      </c>
      <c r="B4" s="2"/>
      <c r="C4" s="2"/>
      <c r="D4" s="2"/>
      <c r="E4" s="2"/>
    </row>
    <row r="5">
      <c r="A5" s="5"/>
      <c r="B5" s="2"/>
      <c r="C5" s="2"/>
      <c r="D5" s="2"/>
      <c r="E5" s="2"/>
    </row>
    <row r="6">
      <c r="A6" s="5" t="s">
        <v>4</v>
      </c>
      <c r="B6" s="2"/>
      <c r="C6" s="2"/>
      <c r="D6" s="2"/>
      <c r="E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</v>
      </c>
    </row>
    <row r="2">
      <c r="A2" s="6" t="s">
        <v>6</v>
      </c>
    </row>
    <row r="3">
      <c r="A3" s="6" t="s">
        <v>7</v>
      </c>
    </row>
    <row r="4">
      <c r="A4" s="6" t="s">
        <v>8</v>
      </c>
    </row>
    <row r="5">
      <c r="A5" s="6" t="s">
        <v>9</v>
      </c>
    </row>
    <row r="6">
      <c r="A6" s="6" t="s">
        <v>10</v>
      </c>
    </row>
    <row r="7">
      <c r="A7" s="6" t="s">
        <v>11</v>
      </c>
    </row>
    <row r="8">
      <c r="A8" s="6" t="s">
        <v>12</v>
      </c>
    </row>
    <row r="9">
      <c r="A9" s="6" t="s">
        <v>13</v>
      </c>
    </row>
    <row r="10">
      <c r="A10" s="6" t="s">
        <v>14</v>
      </c>
    </row>
    <row r="11">
      <c r="A11" s="6" t="s">
        <v>15</v>
      </c>
    </row>
    <row r="12">
      <c r="A12" s="6" t="s">
        <v>16</v>
      </c>
    </row>
    <row r="13">
      <c r="A13" s="6" t="s">
        <v>17</v>
      </c>
    </row>
    <row r="14">
      <c r="A14" s="6" t="s">
        <v>18</v>
      </c>
    </row>
    <row r="15">
      <c r="A15" s="6" t="s">
        <v>19</v>
      </c>
    </row>
    <row r="16">
      <c r="A16" s="6" t="s">
        <v>20</v>
      </c>
    </row>
    <row r="17">
      <c r="A17" s="6" t="s">
        <v>21</v>
      </c>
    </row>
    <row r="18">
      <c r="A18" s="6" t="s">
        <v>22</v>
      </c>
    </row>
    <row r="19">
      <c r="A19" s="6" t="s">
        <v>23</v>
      </c>
    </row>
    <row r="20">
      <c r="A20" s="6" t="s">
        <v>24</v>
      </c>
    </row>
    <row r="21">
      <c r="A21" s="6" t="s">
        <v>25</v>
      </c>
    </row>
    <row r="22">
      <c r="A22" s="6" t="s">
        <v>26</v>
      </c>
    </row>
    <row r="23">
      <c r="A23" s="6" t="s">
        <v>27</v>
      </c>
    </row>
    <row r="24">
      <c r="A24" s="6" t="s">
        <v>28</v>
      </c>
    </row>
    <row r="25">
      <c r="A25" s="6" t="s">
        <v>29</v>
      </c>
    </row>
    <row r="26">
      <c r="A26" s="6" t="s">
        <v>30</v>
      </c>
    </row>
    <row r="27">
      <c r="A27" s="6" t="s">
        <v>31</v>
      </c>
    </row>
    <row r="28">
      <c r="A28" s="6" t="s">
        <v>32</v>
      </c>
    </row>
    <row r="29">
      <c r="A29" s="6" t="s">
        <v>33</v>
      </c>
    </row>
    <row r="30">
      <c r="A30" s="6" t="s">
        <v>34</v>
      </c>
    </row>
    <row r="31">
      <c r="A31" s="6" t="s">
        <v>35</v>
      </c>
    </row>
    <row r="32">
      <c r="A32" s="6" t="s">
        <v>36</v>
      </c>
    </row>
    <row r="33">
      <c r="A33" s="6" t="s">
        <v>37</v>
      </c>
    </row>
    <row r="34">
      <c r="A34" s="7"/>
    </row>
    <row r="35">
      <c r="A35" s="8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7.88"/>
    <col customWidth="1" min="5" max="5" width="19.13"/>
    <col customWidth="1" min="13" max="13" width="13.25"/>
  </cols>
  <sheetData>
    <row r="1">
      <c r="A1" s="10"/>
      <c r="B1" s="10"/>
      <c r="C1" s="11" t="s">
        <v>38</v>
      </c>
      <c r="D1" s="11">
        <v>254.0</v>
      </c>
      <c r="E1" s="11" t="s">
        <v>39</v>
      </c>
      <c r="F1" s="10"/>
      <c r="G1" s="10"/>
      <c r="H1" s="11" t="s">
        <v>40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0"/>
      <c r="B2" s="12" t="s">
        <v>41</v>
      </c>
      <c r="C2" s="12" t="s">
        <v>42</v>
      </c>
      <c r="D2" s="12" t="s">
        <v>43</v>
      </c>
      <c r="E2" s="11" t="s">
        <v>44</v>
      </c>
      <c r="F2" s="11" t="s">
        <v>45</v>
      </c>
      <c r="G2" s="11"/>
      <c r="H2" s="11" t="s">
        <v>46</v>
      </c>
      <c r="I2" s="11" t="s">
        <v>47</v>
      </c>
      <c r="J2" s="11" t="s">
        <v>48</v>
      </c>
      <c r="K2" s="11" t="s">
        <v>49</v>
      </c>
      <c r="L2" s="11" t="s">
        <v>50</v>
      </c>
      <c r="M2" s="11" t="s">
        <v>51</v>
      </c>
      <c r="N2" s="11" t="s">
        <v>52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0"/>
      <c r="B3" s="12" t="s">
        <v>53</v>
      </c>
      <c r="C3" s="12"/>
      <c r="D3" s="12"/>
      <c r="E3" s="10" t="str">
        <f t="shared" ref="E3:E6" si="1">RANK(D3, $D$3:$D$6) + COUNTIFS($D$3:D3, D3) - 1</f>
        <v>#N/A</v>
      </c>
      <c r="F3" s="13" t="str">
        <f t="shared" ref="F3:F6" si="2">(D3-30000)/1000 + IFS(E3=1, 40, E3=2, 10, E3=3, -10, E3=4, -20)</f>
        <v>#N/A</v>
      </c>
      <c r="G3" s="11"/>
      <c r="H3" s="14"/>
      <c r="I3" s="11"/>
      <c r="J3" s="11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0"/>
      <c r="B4" s="12" t="s">
        <v>54</v>
      </c>
      <c r="C4" s="12"/>
      <c r="D4" s="12"/>
      <c r="E4" s="10" t="str">
        <f t="shared" si="1"/>
        <v>#N/A</v>
      </c>
      <c r="F4" s="13" t="str">
        <f t="shared" si="2"/>
        <v>#N/A</v>
      </c>
      <c r="G4" s="11"/>
      <c r="H4" s="14"/>
      <c r="I4" s="11"/>
      <c r="J4" s="11"/>
      <c r="K4" s="10"/>
      <c r="L4" s="11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0"/>
      <c r="B5" s="12" t="s">
        <v>55</v>
      </c>
      <c r="C5" s="12"/>
      <c r="D5" s="12"/>
      <c r="E5" s="10" t="str">
        <f t="shared" si="1"/>
        <v>#N/A</v>
      </c>
      <c r="F5" s="13" t="str">
        <f t="shared" si="2"/>
        <v>#N/A</v>
      </c>
      <c r="G5" s="11"/>
      <c r="H5" s="14"/>
      <c r="I5" s="11"/>
      <c r="J5" s="11"/>
      <c r="K5" s="10"/>
      <c r="L5" s="10"/>
      <c r="M5" s="10"/>
      <c r="N5" s="1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5"/>
      <c r="B6" s="12" t="s">
        <v>56</v>
      </c>
      <c r="C6" s="16"/>
      <c r="D6" s="12"/>
      <c r="E6" s="10" t="str">
        <f t="shared" si="1"/>
        <v>#N/A</v>
      </c>
      <c r="F6" s="13" t="str">
        <f t="shared" si="2"/>
        <v>#N/A</v>
      </c>
      <c r="G6" s="11"/>
      <c r="H6" s="14"/>
      <c r="I6" s="11"/>
      <c r="J6" s="11"/>
      <c r="K6" s="11"/>
      <c r="L6" s="11"/>
      <c r="M6" s="11"/>
      <c r="N6" s="1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7" t="s">
        <v>57</v>
      </c>
      <c r="B7" s="10"/>
      <c r="C7" s="10"/>
      <c r="D7" s="10">
        <f>sum(D3:D6)</f>
        <v>0</v>
      </c>
      <c r="E7" s="10"/>
      <c r="F7" s="10"/>
      <c r="G7" s="11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1" t="b">
        <v>0</v>
      </c>
      <c r="B8" s="10"/>
      <c r="C8" s="10"/>
      <c r="D8" s="10"/>
      <c r="E8" s="10"/>
      <c r="F8" s="10"/>
      <c r="G8" s="11"/>
      <c r="H8" s="1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"/>
      <c r="B9" s="10"/>
      <c r="C9" s="10"/>
      <c r="D9" s="10"/>
      <c r="E9" s="10"/>
      <c r="F9" s="10"/>
      <c r="G9" s="11"/>
      <c r="H9" s="13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10"/>
      <c r="C10" s="10"/>
      <c r="D10" s="10"/>
      <c r="E10" s="10"/>
      <c r="F10" s="10"/>
      <c r="G10" s="11"/>
      <c r="H10" s="13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10"/>
      <c r="C11" s="10"/>
      <c r="D11" s="10"/>
      <c r="E11" s="10"/>
      <c r="F11" s="10"/>
      <c r="G11" s="11"/>
      <c r="H11" s="13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0"/>
      <c r="C12" s="10"/>
      <c r="D12" s="10"/>
      <c r="E12" s="11"/>
      <c r="F12" s="10"/>
      <c r="G12" s="11"/>
      <c r="H12" s="13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10"/>
      <c r="C13" s="10"/>
      <c r="D13" s="10"/>
      <c r="E13" s="13"/>
      <c r="F13" s="10"/>
      <c r="G13" s="11"/>
      <c r="H13" s="13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10"/>
      <c r="C14" s="10"/>
      <c r="D14" s="10"/>
      <c r="E14" s="10"/>
      <c r="F14" s="10"/>
      <c r="G14" s="11"/>
      <c r="H14" s="13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0"/>
      <c r="C15" s="10"/>
      <c r="D15" s="10"/>
      <c r="E15" s="10"/>
      <c r="F15" s="10"/>
      <c r="G15" s="11"/>
      <c r="H15" s="13"/>
      <c r="I15" s="10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/>
      <c r="D16" s="10"/>
      <c r="E16" s="10"/>
      <c r="F16" s="10"/>
      <c r="G16" s="11"/>
      <c r="H16" s="13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/>
      <c r="D17" s="10"/>
      <c r="E17" s="10"/>
      <c r="F17" s="10"/>
      <c r="G17" s="11"/>
      <c r="H17" s="13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10"/>
      <c r="G18" s="11"/>
      <c r="H18" s="13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1"/>
      <c r="C19" s="10"/>
      <c r="D19" s="10"/>
      <c r="E19" s="10"/>
      <c r="F19" s="10"/>
      <c r="G19" s="11"/>
      <c r="H19" s="1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1"/>
      <c r="C20" s="10"/>
      <c r="D20" s="10"/>
      <c r="E20" s="10"/>
      <c r="F20" s="10"/>
      <c r="G20" s="11"/>
      <c r="H20" s="1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1"/>
      <c r="C21" s="10"/>
      <c r="D21" s="10"/>
      <c r="E21" s="10"/>
      <c r="F21" s="10"/>
      <c r="G21" s="11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0"/>
      <c r="F22" s="10"/>
      <c r="G22" s="11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0"/>
      <c r="F23" s="10"/>
      <c r="G23" s="11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1"/>
      <c r="D24" s="10"/>
      <c r="E24" s="10"/>
      <c r="F24" s="10"/>
      <c r="G24" s="11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1"/>
      <c r="D25" s="10"/>
      <c r="E25" s="10"/>
      <c r="F25" s="10"/>
      <c r="G25" s="11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1"/>
      <c r="D26" s="10"/>
      <c r="E26" s="10"/>
      <c r="F26" s="10"/>
      <c r="G26" s="11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1"/>
      <c r="D27" s="10"/>
      <c r="E27" s="10"/>
      <c r="F27" s="10"/>
      <c r="G27" s="11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1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1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1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mergeCells count="1">
    <mergeCell ref="H1:L1"/>
  </mergeCells>
  <conditionalFormatting sqref="D7">
    <cfRule type="cellIs" dxfId="0" priority="1" operator="notEqual">
      <formula>100000</formula>
    </cfRule>
  </conditionalFormatting>
  <conditionalFormatting sqref="D7">
    <cfRule type="cellIs" dxfId="1" priority="2" operator="equal">
      <formula>100000</formula>
    </cfRule>
  </conditionalFormatting>
  <dataValidations>
    <dataValidation type="list" allowBlank="1" showErrorMessage="1" sqref="J3:N3 I4:N6">
      <formula1>"0,1,2,3,4,5"</formula1>
    </dataValidation>
    <dataValidation type="list" allowBlank="1" showErrorMessage="1" sqref="I3">
      <formula1>"1,2,3,4,5"</formula1>
    </dataValidation>
    <dataValidation type="list" allowBlank="1" showErrorMessage="1" sqref="C3:C6">
      <formula1>'플레이어'!A:A</formula1>
    </dataValidation>
    <dataValidation type="list" allowBlank="1" showErrorMessage="1" sqref="H3:H6">
      <formula1>"0,1,2,3,4,5,6,7"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58</v>
      </c>
      <c r="B1" s="6" t="s">
        <v>38</v>
      </c>
      <c r="C1" s="6" t="s">
        <v>59</v>
      </c>
      <c r="D1" s="6" t="s">
        <v>60</v>
      </c>
      <c r="E1" s="6" t="s">
        <v>45</v>
      </c>
      <c r="F1" s="6" t="s">
        <v>44</v>
      </c>
      <c r="G1" s="6" t="s">
        <v>61</v>
      </c>
      <c r="H1" s="6"/>
      <c r="I1" s="6" t="s">
        <v>46</v>
      </c>
      <c r="J1" s="6" t="s">
        <v>47</v>
      </c>
      <c r="K1" s="6" t="s">
        <v>48</v>
      </c>
      <c r="L1" s="6" t="s">
        <v>49</v>
      </c>
      <c r="M1" s="6" t="s">
        <v>50</v>
      </c>
      <c r="N1" s="6" t="s">
        <v>51</v>
      </c>
      <c r="O1" s="6" t="s">
        <v>52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8">
        <v>46075.94330298611</v>
      </c>
      <c r="B2" s="19">
        <v>253.0</v>
      </c>
      <c r="C2" s="19" t="s">
        <v>53</v>
      </c>
      <c r="D2" s="19" t="s">
        <v>15</v>
      </c>
      <c r="E2" s="19">
        <v>35500.0</v>
      </c>
      <c r="F2" s="20">
        <v>2.0</v>
      </c>
      <c r="G2" s="20">
        <v>15.5</v>
      </c>
      <c r="I2" s="6">
        <v>1.0</v>
      </c>
      <c r="J2" s="6">
        <v>0.0</v>
      </c>
      <c r="K2" s="6">
        <v>0.0</v>
      </c>
      <c r="L2" s="6">
        <v>0.0</v>
      </c>
      <c r="M2" s="6">
        <v>0.0</v>
      </c>
      <c r="N2" s="20">
        <v>0.0</v>
      </c>
      <c r="O2" s="20">
        <v>0.0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8">
        <v>46075.94330298611</v>
      </c>
      <c r="B3" s="19">
        <v>253.0</v>
      </c>
      <c r="C3" s="19" t="s">
        <v>54</v>
      </c>
      <c r="D3" s="19" t="s">
        <v>6</v>
      </c>
      <c r="E3" s="19">
        <v>18100.0</v>
      </c>
      <c r="F3" s="20">
        <v>3.0</v>
      </c>
      <c r="G3" s="20">
        <v>-21.9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20">
        <v>0.0</v>
      </c>
      <c r="O3" s="20">
        <v>0.0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8">
        <v>46075.94330298611</v>
      </c>
      <c r="B4" s="19">
        <v>253.0</v>
      </c>
      <c r="C4" s="19" t="s">
        <v>55</v>
      </c>
      <c r="D4" s="19" t="s">
        <v>8</v>
      </c>
      <c r="E4" s="19">
        <v>52100.0</v>
      </c>
      <c r="F4" s="20">
        <v>1.0</v>
      </c>
      <c r="G4" s="20">
        <v>62.1</v>
      </c>
      <c r="I4" s="6">
        <v>3.0</v>
      </c>
      <c r="J4" s="6">
        <v>1.0</v>
      </c>
      <c r="K4" s="6">
        <v>0.0</v>
      </c>
      <c r="L4" s="6">
        <v>0.0</v>
      </c>
      <c r="M4" s="6">
        <v>0.0</v>
      </c>
      <c r="N4" s="20">
        <v>0.0</v>
      </c>
      <c r="O4" s="20">
        <v>0.0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8">
        <v>46075.94330298611</v>
      </c>
      <c r="B5" s="19">
        <v>253.0</v>
      </c>
      <c r="C5" s="19" t="s">
        <v>56</v>
      </c>
      <c r="D5" s="19" t="s">
        <v>35</v>
      </c>
      <c r="E5" s="19">
        <v>-5700.0</v>
      </c>
      <c r="F5" s="20">
        <v>4.0</v>
      </c>
      <c r="G5" s="20">
        <v>-55.7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20">
        <v>0.0</v>
      </c>
      <c r="O5" s="20">
        <v>0.0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8">
        <v>46075.88554679399</v>
      </c>
      <c r="B6" s="19">
        <v>252.0</v>
      </c>
      <c r="C6" s="19" t="s">
        <v>53</v>
      </c>
      <c r="D6" s="19" t="s">
        <v>8</v>
      </c>
      <c r="E6" s="19">
        <v>5700.0</v>
      </c>
      <c r="F6" s="20">
        <v>4.0</v>
      </c>
      <c r="G6" s="20">
        <v>-44.3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20">
        <v>0.0</v>
      </c>
      <c r="O6" s="20">
        <v>0.0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8">
        <v>46075.88554679399</v>
      </c>
      <c r="B7" s="19">
        <v>252.0</v>
      </c>
      <c r="C7" s="19" t="s">
        <v>54</v>
      </c>
      <c r="D7" s="19" t="s">
        <v>15</v>
      </c>
      <c r="E7" s="19">
        <v>37900.0</v>
      </c>
      <c r="F7" s="20">
        <v>1.0</v>
      </c>
      <c r="G7" s="20">
        <v>47.9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20">
        <v>0.0</v>
      </c>
      <c r="O7" s="20">
        <v>0.0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8">
        <v>46075.88554679399</v>
      </c>
      <c r="B8" s="19">
        <v>252.0</v>
      </c>
      <c r="C8" s="19" t="s">
        <v>55</v>
      </c>
      <c r="D8" s="19" t="s">
        <v>35</v>
      </c>
      <c r="E8" s="19">
        <v>28200.0</v>
      </c>
      <c r="F8" s="20">
        <v>2.0</v>
      </c>
      <c r="G8" s="20">
        <v>8.2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20">
        <v>0.0</v>
      </c>
      <c r="O8" s="20">
        <v>0.0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8">
        <v>46075.88554679399</v>
      </c>
      <c r="B9" s="19">
        <v>252.0</v>
      </c>
      <c r="C9" s="19" t="s">
        <v>56</v>
      </c>
      <c r="D9" s="19" t="s">
        <v>6</v>
      </c>
      <c r="E9" s="19">
        <v>28200.0</v>
      </c>
      <c r="F9" s="20">
        <v>3.0</v>
      </c>
      <c r="G9" s="20">
        <v>-11.8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20">
        <v>0.0</v>
      </c>
      <c r="O9" s="20">
        <v>0.0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8">
        <v>46075.84786460648</v>
      </c>
      <c r="B10" s="19">
        <v>251.0</v>
      </c>
      <c r="C10" s="19" t="s">
        <v>53</v>
      </c>
      <c r="D10" s="19" t="s">
        <v>6</v>
      </c>
      <c r="E10" s="19">
        <v>25400.0</v>
      </c>
      <c r="F10" s="20">
        <v>2.0</v>
      </c>
      <c r="G10" s="20">
        <v>5.4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20">
        <v>0.0</v>
      </c>
      <c r="O10" s="20">
        <v>0.0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8">
        <v>46075.84786460648</v>
      </c>
      <c r="B11" s="19">
        <v>251.0</v>
      </c>
      <c r="C11" s="19" t="s">
        <v>54</v>
      </c>
      <c r="D11" s="19" t="s">
        <v>8</v>
      </c>
      <c r="E11" s="19">
        <v>56000.0</v>
      </c>
      <c r="F11" s="20">
        <v>1.0</v>
      </c>
      <c r="G11" s="20">
        <v>66.0</v>
      </c>
      <c r="I11" s="6">
        <v>1.0</v>
      </c>
      <c r="J11" s="6">
        <v>1.0</v>
      </c>
      <c r="K11" s="6">
        <v>0.0</v>
      </c>
      <c r="L11" s="6">
        <v>0.0</v>
      </c>
      <c r="M11" s="6">
        <v>0.0</v>
      </c>
      <c r="N11" s="20">
        <v>0.0</v>
      </c>
      <c r="O11" s="20">
        <v>0.0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8">
        <v>46075.84786460648</v>
      </c>
      <c r="B12" s="19">
        <v>251.0</v>
      </c>
      <c r="C12" s="19" t="s">
        <v>55</v>
      </c>
      <c r="D12" s="19" t="s">
        <v>15</v>
      </c>
      <c r="E12" s="19">
        <v>15400.0</v>
      </c>
      <c r="F12" s="20">
        <v>3.0</v>
      </c>
      <c r="G12" s="20">
        <v>-24.6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20">
        <v>0.0</v>
      </c>
      <c r="O12" s="20">
        <v>0.0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8">
        <v>46075.84786460648</v>
      </c>
      <c r="B13" s="19">
        <v>251.0</v>
      </c>
      <c r="C13" s="19" t="s">
        <v>56</v>
      </c>
      <c r="D13" s="19" t="s">
        <v>35</v>
      </c>
      <c r="E13" s="19">
        <v>3200.0</v>
      </c>
      <c r="F13" s="20">
        <v>4.0</v>
      </c>
      <c r="G13" s="20">
        <v>-46.8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20">
        <v>0.0</v>
      </c>
      <c r="O13" s="20">
        <v>0.0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8">
        <v>46075.7881690625</v>
      </c>
      <c r="B14" s="19">
        <v>250.0</v>
      </c>
      <c r="C14" s="19" t="s">
        <v>53</v>
      </c>
      <c r="D14" s="19" t="s">
        <v>8</v>
      </c>
      <c r="E14" s="19">
        <v>9800.0</v>
      </c>
      <c r="F14" s="20">
        <v>4.0</v>
      </c>
      <c r="G14" s="20">
        <v>-40.2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20">
        <v>0.0</v>
      </c>
      <c r="O14" s="20">
        <v>0.0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8">
        <v>46075.7881690625</v>
      </c>
      <c r="B15" s="19">
        <v>250.0</v>
      </c>
      <c r="C15" s="19" t="s">
        <v>54</v>
      </c>
      <c r="D15" s="19" t="s">
        <v>6</v>
      </c>
      <c r="E15" s="19">
        <v>23300.0</v>
      </c>
      <c r="F15" s="20">
        <v>3.0</v>
      </c>
      <c r="G15" s="20">
        <v>-16.7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20">
        <v>0.0</v>
      </c>
      <c r="O15" s="20">
        <v>0.0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8">
        <v>46075.7881690625</v>
      </c>
      <c r="B16" s="19">
        <v>250.0</v>
      </c>
      <c r="C16" s="19" t="s">
        <v>55</v>
      </c>
      <c r="D16" s="19" t="s">
        <v>35</v>
      </c>
      <c r="E16" s="19">
        <v>38700.0</v>
      </c>
      <c r="F16" s="20">
        <v>1.0</v>
      </c>
      <c r="G16" s="20">
        <v>48.7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20">
        <v>0.0</v>
      </c>
      <c r="O16" s="20">
        <v>0.0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8">
        <v>46075.7881690625</v>
      </c>
      <c r="B17" s="19">
        <v>250.0</v>
      </c>
      <c r="C17" s="19" t="s">
        <v>56</v>
      </c>
      <c r="D17" s="19" t="s">
        <v>15</v>
      </c>
      <c r="E17" s="19">
        <v>28200.0</v>
      </c>
      <c r="F17" s="20">
        <v>2.0</v>
      </c>
      <c r="G17" s="20">
        <v>8.2</v>
      </c>
      <c r="I17" s="6">
        <v>1.0</v>
      </c>
      <c r="J17" s="6">
        <v>0.0</v>
      </c>
      <c r="K17" s="6">
        <v>0.0</v>
      </c>
      <c r="L17" s="6">
        <v>0.0</v>
      </c>
      <c r="M17" s="6">
        <v>0.0</v>
      </c>
      <c r="N17" s="20">
        <v>0.0</v>
      </c>
      <c r="O17" s="20">
        <v>0.0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8">
        <v>46075.735163125</v>
      </c>
      <c r="B18" s="19">
        <v>249.0</v>
      </c>
      <c r="C18" s="19" t="s">
        <v>53</v>
      </c>
      <c r="D18" s="19" t="s">
        <v>15</v>
      </c>
      <c r="E18" s="19">
        <v>11700.0</v>
      </c>
      <c r="F18" s="20">
        <v>3.0</v>
      </c>
      <c r="G18" s="20">
        <v>-28.3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20">
        <v>0.0</v>
      </c>
      <c r="O18" s="20">
        <v>0.0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8">
        <v>46075.735163125</v>
      </c>
      <c r="B19" s="19">
        <v>249.0</v>
      </c>
      <c r="C19" s="19" t="s">
        <v>54</v>
      </c>
      <c r="D19" s="19" t="s">
        <v>6</v>
      </c>
      <c r="E19" s="19">
        <v>53500.0</v>
      </c>
      <c r="F19" s="20">
        <v>1.0</v>
      </c>
      <c r="G19" s="20">
        <v>63.5</v>
      </c>
      <c r="I19" s="6">
        <v>1.0</v>
      </c>
      <c r="J19" s="6">
        <v>1.0</v>
      </c>
      <c r="K19" s="6">
        <v>0.0</v>
      </c>
      <c r="L19" s="6">
        <v>0.0</v>
      </c>
      <c r="M19" s="6">
        <v>0.0</v>
      </c>
      <c r="N19" s="20">
        <v>0.0</v>
      </c>
      <c r="O19" s="20">
        <v>0.0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8">
        <v>46075.735163125</v>
      </c>
      <c r="B20" s="19">
        <v>249.0</v>
      </c>
      <c r="C20" s="19" t="s">
        <v>55</v>
      </c>
      <c r="D20" s="19" t="s">
        <v>8</v>
      </c>
      <c r="E20" s="19">
        <v>36600.0</v>
      </c>
      <c r="F20" s="20">
        <v>2.0</v>
      </c>
      <c r="G20" s="20">
        <v>16.6</v>
      </c>
      <c r="I20" s="6">
        <v>1.0</v>
      </c>
      <c r="J20" s="6">
        <v>0.0</v>
      </c>
      <c r="K20" s="6">
        <v>0.0</v>
      </c>
      <c r="L20" s="6">
        <v>0.0</v>
      </c>
      <c r="M20" s="6">
        <v>0.0</v>
      </c>
      <c r="N20" s="20">
        <v>0.0</v>
      </c>
      <c r="O20" s="20">
        <v>0.0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8">
        <v>46075.735163125</v>
      </c>
      <c r="B21" s="19">
        <v>249.0</v>
      </c>
      <c r="C21" s="19" t="s">
        <v>56</v>
      </c>
      <c r="D21" s="19" t="s">
        <v>35</v>
      </c>
      <c r="E21" s="19">
        <v>-1800.0</v>
      </c>
      <c r="F21" s="20">
        <v>4.0</v>
      </c>
      <c r="G21" s="20">
        <v>-51.8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20">
        <v>0.0</v>
      </c>
      <c r="O21" s="20">
        <v>0.0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8">
        <v>46075.73403715278</v>
      </c>
      <c r="B22" s="19">
        <v>248.0</v>
      </c>
      <c r="C22" s="19" t="s">
        <v>53</v>
      </c>
      <c r="D22" s="19" t="s">
        <v>35</v>
      </c>
      <c r="E22" s="19">
        <v>21100.0</v>
      </c>
      <c r="F22" s="20">
        <v>4.0</v>
      </c>
      <c r="G22" s="20">
        <v>-28.9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20">
        <v>0.0</v>
      </c>
      <c r="O22" s="20">
        <v>0.0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8">
        <v>46075.73403715278</v>
      </c>
      <c r="B23" s="19">
        <v>248.0</v>
      </c>
      <c r="C23" s="19" t="s">
        <v>54</v>
      </c>
      <c r="D23" s="19" t="s">
        <v>6</v>
      </c>
      <c r="E23" s="19">
        <v>30300.0</v>
      </c>
      <c r="F23" s="20">
        <v>1.0</v>
      </c>
      <c r="G23" s="20">
        <v>40.3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20">
        <v>0.0</v>
      </c>
      <c r="O23" s="20">
        <v>0.0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8">
        <v>46075.73403715278</v>
      </c>
      <c r="B24" s="19">
        <v>248.0</v>
      </c>
      <c r="C24" s="19" t="s">
        <v>55</v>
      </c>
      <c r="D24" s="19" t="s">
        <v>8</v>
      </c>
      <c r="E24" s="19">
        <v>24800.0</v>
      </c>
      <c r="F24" s="20">
        <v>2.0</v>
      </c>
      <c r="G24" s="20">
        <v>4.8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20">
        <v>0.0</v>
      </c>
      <c r="O24" s="20">
        <v>0.0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8">
        <v>46075.73403715278</v>
      </c>
      <c r="B25" s="19">
        <v>248.0</v>
      </c>
      <c r="C25" s="19" t="s">
        <v>56</v>
      </c>
      <c r="D25" s="19" t="s">
        <v>15</v>
      </c>
      <c r="E25" s="19">
        <v>23800.0</v>
      </c>
      <c r="F25" s="20">
        <v>3.0</v>
      </c>
      <c r="G25" s="20">
        <v>-16.2</v>
      </c>
      <c r="I25" s="6">
        <v>1.0</v>
      </c>
      <c r="J25" s="6">
        <v>0.0</v>
      </c>
      <c r="K25" s="6">
        <v>0.0</v>
      </c>
      <c r="L25" s="6">
        <v>0.0</v>
      </c>
      <c r="M25" s="6">
        <v>0.0</v>
      </c>
      <c r="N25" s="20">
        <v>0.0</v>
      </c>
      <c r="O25" s="20">
        <v>0.0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8">
        <v>46075.61730400463</v>
      </c>
      <c r="B26" s="19">
        <v>247.0</v>
      </c>
      <c r="C26" s="19" t="s">
        <v>53</v>
      </c>
      <c r="D26" s="19" t="s">
        <v>6</v>
      </c>
      <c r="E26" s="19">
        <v>22100.0</v>
      </c>
      <c r="F26" s="20">
        <v>2.0</v>
      </c>
      <c r="G26" s="20">
        <v>2.0999999999999996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20">
        <v>0.0</v>
      </c>
      <c r="O26" s="20">
        <v>0.0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8">
        <v>46075.61730400463</v>
      </c>
      <c r="B27" s="19">
        <v>247.0</v>
      </c>
      <c r="C27" s="19" t="s">
        <v>54</v>
      </c>
      <c r="D27" s="19" t="s">
        <v>35</v>
      </c>
      <c r="E27" s="19">
        <v>47000.0</v>
      </c>
      <c r="F27" s="20">
        <v>1.0</v>
      </c>
      <c r="G27" s="20">
        <v>57.0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20">
        <v>0.0</v>
      </c>
      <c r="O27" s="20">
        <v>0.0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8">
        <v>46075.61730400463</v>
      </c>
      <c r="B28" s="19">
        <v>247.0</v>
      </c>
      <c r="C28" s="19" t="s">
        <v>55</v>
      </c>
      <c r="D28" s="19" t="s">
        <v>8</v>
      </c>
      <c r="E28" s="19">
        <v>12400.0</v>
      </c>
      <c r="F28" s="20">
        <v>4.0</v>
      </c>
      <c r="G28" s="20">
        <v>-37.6</v>
      </c>
      <c r="I28" s="6">
        <v>0.0</v>
      </c>
      <c r="J28" s="6">
        <v>1.0</v>
      </c>
      <c r="K28" s="6">
        <v>0.0</v>
      </c>
      <c r="L28" s="6">
        <v>0.0</v>
      </c>
      <c r="M28" s="6">
        <v>0.0</v>
      </c>
      <c r="N28" s="20">
        <v>0.0</v>
      </c>
      <c r="O28" s="20">
        <v>0.0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8">
        <v>46075.61730400463</v>
      </c>
      <c r="B29" s="19">
        <v>247.0</v>
      </c>
      <c r="C29" s="19" t="s">
        <v>56</v>
      </c>
      <c r="D29" s="19" t="s">
        <v>15</v>
      </c>
      <c r="E29" s="19">
        <v>18500.0</v>
      </c>
      <c r="F29" s="20">
        <v>3.0</v>
      </c>
      <c r="G29" s="20">
        <v>-21.5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20">
        <v>0.0</v>
      </c>
      <c r="O29" s="20">
        <v>0.0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8">
        <v>46075.54571712963</v>
      </c>
      <c r="B30" s="19">
        <v>246.0</v>
      </c>
      <c r="C30" s="19" t="s">
        <v>53</v>
      </c>
      <c r="D30" s="19" t="s">
        <v>35</v>
      </c>
      <c r="E30" s="19">
        <v>20300.0</v>
      </c>
      <c r="F30" s="20">
        <v>2.0</v>
      </c>
      <c r="G30" s="20">
        <v>0.3000000000000007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20">
        <v>0.0</v>
      </c>
      <c r="O30" s="20">
        <v>0.0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8">
        <v>46075.54571712963</v>
      </c>
      <c r="B31" s="19">
        <v>246.0</v>
      </c>
      <c r="C31" s="19" t="s">
        <v>54</v>
      </c>
      <c r="D31" s="19" t="s">
        <v>15</v>
      </c>
      <c r="E31" s="19">
        <v>44000.0</v>
      </c>
      <c r="F31" s="20">
        <v>1.0</v>
      </c>
      <c r="G31" s="20">
        <v>54.0</v>
      </c>
      <c r="I31" s="6">
        <v>1.0</v>
      </c>
      <c r="J31" s="6">
        <v>1.0</v>
      </c>
      <c r="K31" s="6">
        <v>0.0</v>
      </c>
      <c r="L31" s="6">
        <v>0.0</v>
      </c>
      <c r="M31" s="6">
        <v>0.0</v>
      </c>
      <c r="N31" s="20">
        <v>0.0</v>
      </c>
      <c r="O31" s="20">
        <v>0.0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8">
        <v>46075.54571712963</v>
      </c>
      <c r="B32" s="19">
        <v>246.0</v>
      </c>
      <c r="C32" s="19" t="s">
        <v>55</v>
      </c>
      <c r="D32" s="19" t="s">
        <v>6</v>
      </c>
      <c r="E32" s="19">
        <v>19500.0</v>
      </c>
      <c r="F32" s="20">
        <v>3.0</v>
      </c>
      <c r="G32" s="20">
        <v>-20.5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20">
        <v>0.0</v>
      </c>
      <c r="O32" s="20">
        <v>0.0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8">
        <v>46075.54571712963</v>
      </c>
      <c r="B33" s="19">
        <v>246.0</v>
      </c>
      <c r="C33" s="19" t="s">
        <v>56</v>
      </c>
      <c r="D33" s="19" t="s">
        <v>8</v>
      </c>
      <c r="E33" s="19">
        <v>16200.0</v>
      </c>
      <c r="F33" s="20">
        <v>4.0</v>
      </c>
      <c r="G33" s="20">
        <v>-33.8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20">
        <v>0.0</v>
      </c>
      <c r="O33" s="20">
        <v>0.0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8">
        <v>46067.966326828704</v>
      </c>
      <c r="B34" s="19">
        <v>245.0</v>
      </c>
      <c r="C34" s="19" t="s">
        <v>53</v>
      </c>
      <c r="D34" s="19" t="s">
        <v>5</v>
      </c>
      <c r="E34" s="19">
        <v>14800.0</v>
      </c>
      <c r="F34" s="20">
        <v>3.0</v>
      </c>
      <c r="G34" s="20">
        <v>-25.2</v>
      </c>
      <c r="I34" s="6">
        <v>0.0</v>
      </c>
      <c r="J34" s="6">
        <v>1.0</v>
      </c>
      <c r="K34" s="6">
        <v>0.0</v>
      </c>
      <c r="L34" s="6">
        <v>0.0</v>
      </c>
      <c r="M34" s="6">
        <v>0.0</v>
      </c>
      <c r="N34" s="20">
        <v>0.0</v>
      </c>
      <c r="O34" s="20">
        <v>0.0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8">
        <v>46067.966326828704</v>
      </c>
      <c r="B35" s="19">
        <v>245.0</v>
      </c>
      <c r="C35" s="19" t="s">
        <v>54</v>
      </c>
      <c r="D35" s="19" t="s">
        <v>8</v>
      </c>
      <c r="E35" s="19">
        <v>13800.0</v>
      </c>
      <c r="F35" s="20">
        <v>4.0</v>
      </c>
      <c r="G35" s="20">
        <v>-36.2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20">
        <v>0.0</v>
      </c>
      <c r="O35" s="20">
        <v>0.0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8">
        <v>46067.966326828704</v>
      </c>
      <c r="B36" s="19">
        <v>245.0</v>
      </c>
      <c r="C36" s="19" t="s">
        <v>55</v>
      </c>
      <c r="D36" s="19" t="s">
        <v>15</v>
      </c>
      <c r="E36" s="19">
        <v>48300.0</v>
      </c>
      <c r="F36" s="20">
        <v>1.0</v>
      </c>
      <c r="G36" s="20">
        <v>58.3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20">
        <v>0.0</v>
      </c>
      <c r="O36" s="20">
        <v>0.0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8">
        <v>46067.966326828704</v>
      </c>
      <c r="B37" s="19">
        <v>245.0</v>
      </c>
      <c r="C37" s="19" t="s">
        <v>56</v>
      </c>
      <c r="D37" s="19" t="s">
        <v>6</v>
      </c>
      <c r="E37" s="19">
        <v>23100.0</v>
      </c>
      <c r="F37" s="20">
        <v>2.0</v>
      </c>
      <c r="G37" s="20">
        <v>3.0999999999999996</v>
      </c>
      <c r="I37" s="6">
        <v>2.0</v>
      </c>
      <c r="J37" s="6">
        <v>1.0</v>
      </c>
      <c r="K37" s="6">
        <v>0.0</v>
      </c>
      <c r="L37" s="6">
        <v>0.0</v>
      </c>
      <c r="M37" s="6">
        <v>0.0</v>
      </c>
      <c r="N37" s="20">
        <v>0.0</v>
      </c>
      <c r="O37" s="20">
        <v>0.0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8">
        <v>46067.896696192125</v>
      </c>
      <c r="B38" s="19">
        <v>244.0</v>
      </c>
      <c r="C38" s="19" t="s">
        <v>53</v>
      </c>
      <c r="D38" s="19" t="s">
        <v>8</v>
      </c>
      <c r="E38" s="19">
        <v>24300.0</v>
      </c>
      <c r="F38" s="20">
        <v>2.0</v>
      </c>
      <c r="G38" s="20">
        <v>4.3</v>
      </c>
      <c r="I38" s="6">
        <v>1.0</v>
      </c>
      <c r="J38" s="6">
        <v>0.0</v>
      </c>
      <c r="K38" s="6">
        <v>0.0</v>
      </c>
      <c r="L38" s="6">
        <v>0.0</v>
      </c>
      <c r="M38" s="6">
        <v>0.0</v>
      </c>
      <c r="N38" s="20">
        <v>0.0</v>
      </c>
      <c r="O38" s="20">
        <v>0.0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8">
        <v>46067.896696192125</v>
      </c>
      <c r="B39" s="19">
        <v>244.0</v>
      </c>
      <c r="C39" s="19" t="s">
        <v>54</v>
      </c>
      <c r="D39" s="19" t="s">
        <v>15</v>
      </c>
      <c r="E39" s="19">
        <v>13900.0</v>
      </c>
      <c r="F39" s="20">
        <v>4.0</v>
      </c>
      <c r="G39" s="20">
        <v>-36.1</v>
      </c>
      <c r="I39" s="6">
        <v>0.0</v>
      </c>
      <c r="J39" s="6">
        <v>1.0</v>
      </c>
      <c r="K39" s="6">
        <v>0.0</v>
      </c>
      <c r="L39" s="6">
        <v>0.0</v>
      </c>
      <c r="M39" s="6">
        <v>0.0</v>
      </c>
      <c r="N39" s="20">
        <v>0.0</v>
      </c>
      <c r="O39" s="20">
        <v>0.0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8">
        <v>46067.896696192125</v>
      </c>
      <c r="B40" s="19">
        <v>244.0</v>
      </c>
      <c r="C40" s="19" t="s">
        <v>55</v>
      </c>
      <c r="D40" s="19" t="s">
        <v>5</v>
      </c>
      <c r="E40" s="19">
        <v>41300.0</v>
      </c>
      <c r="F40" s="20">
        <v>1.0</v>
      </c>
      <c r="G40" s="20">
        <v>51.3</v>
      </c>
      <c r="I40" s="6">
        <v>1.0</v>
      </c>
      <c r="J40" s="6">
        <v>0.0</v>
      </c>
      <c r="K40" s="6">
        <v>0.0</v>
      </c>
      <c r="L40" s="6">
        <v>0.0</v>
      </c>
      <c r="M40" s="6">
        <v>0.0</v>
      </c>
      <c r="N40" s="20">
        <v>0.0</v>
      </c>
      <c r="O40" s="20">
        <v>0.0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8">
        <v>46067.896696192125</v>
      </c>
      <c r="B41" s="19">
        <v>244.0</v>
      </c>
      <c r="C41" s="19" t="s">
        <v>56</v>
      </c>
      <c r="D41" s="19" t="s">
        <v>6</v>
      </c>
      <c r="E41" s="19">
        <v>20500.0</v>
      </c>
      <c r="F41" s="20">
        <v>3.0</v>
      </c>
      <c r="G41" s="20">
        <v>-19.5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20">
        <v>0.0</v>
      </c>
      <c r="O41" s="20">
        <v>0.0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8">
        <v>46067.85446269676</v>
      </c>
      <c r="B42" s="19">
        <v>243.0</v>
      </c>
      <c r="C42" s="19" t="s">
        <v>53</v>
      </c>
      <c r="D42" s="19" t="s">
        <v>8</v>
      </c>
      <c r="E42" s="19">
        <v>46900.0</v>
      </c>
      <c r="F42" s="20">
        <v>1.0</v>
      </c>
      <c r="G42" s="20">
        <v>56.9</v>
      </c>
      <c r="I42" s="6">
        <v>1.0</v>
      </c>
      <c r="J42" s="6">
        <v>1.0</v>
      </c>
      <c r="K42" s="6">
        <v>0.0</v>
      </c>
      <c r="L42" s="6">
        <v>0.0</v>
      </c>
      <c r="M42" s="6">
        <v>0.0</v>
      </c>
      <c r="N42" s="20">
        <v>0.0</v>
      </c>
      <c r="O42" s="20">
        <v>0.0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8">
        <v>46067.85446269676</v>
      </c>
      <c r="B43" s="19">
        <v>243.0</v>
      </c>
      <c r="C43" s="19" t="s">
        <v>54</v>
      </c>
      <c r="D43" s="19" t="s">
        <v>6</v>
      </c>
      <c r="E43" s="19">
        <v>24400.0</v>
      </c>
      <c r="F43" s="20">
        <v>3.0</v>
      </c>
      <c r="G43" s="20">
        <v>-15.6</v>
      </c>
      <c r="I43" s="6">
        <v>1.0</v>
      </c>
      <c r="J43" s="6">
        <v>0.0</v>
      </c>
      <c r="K43" s="6">
        <v>0.0</v>
      </c>
      <c r="L43" s="6">
        <v>0.0</v>
      </c>
      <c r="M43" s="6">
        <v>0.0</v>
      </c>
      <c r="N43" s="20">
        <v>0.0</v>
      </c>
      <c r="O43" s="20">
        <v>0.0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8">
        <v>46067.85446269676</v>
      </c>
      <c r="B44" s="19">
        <v>243.0</v>
      </c>
      <c r="C44" s="19" t="s">
        <v>55</v>
      </c>
      <c r="D44" s="19" t="s">
        <v>5</v>
      </c>
      <c r="E44" s="19">
        <v>3800.0</v>
      </c>
      <c r="F44" s="20">
        <v>4.0</v>
      </c>
      <c r="G44" s="20">
        <v>-46.2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20">
        <v>0.0</v>
      </c>
      <c r="O44" s="20">
        <v>0.0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8">
        <v>46067.85446269676</v>
      </c>
      <c r="B45" s="19">
        <v>243.0</v>
      </c>
      <c r="C45" s="19" t="s">
        <v>56</v>
      </c>
      <c r="D45" s="19" t="s">
        <v>15</v>
      </c>
      <c r="E45" s="19">
        <v>24900.0</v>
      </c>
      <c r="F45" s="20">
        <v>2.0</v>
      </c>
      <c r="G45" s="20">
        <v>4.9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20">
        <v>0.0</v>
      </c>
      <c r="O45" s="20">
        <v>0.0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8">
        <v>46067.77497363426</v>
      </c>
      <c r="B46" s="19">
        <v>242.0</v>
      </c>
      <c r="C46" s="19" t="s">
        <v>53</v>
      </c>
      <c r="D46" s="19" t="s">
        <v>8</v>
      </c>
      <c r="E46" s="19">
        <v>20400.0</v>
      </c>
      <c r="F46" s="20">
        <v>3.0</v>
      </c>
      <c r="G46" s="20">
        <v>-19.6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20">
        <v>0.0</v>
      </c>
      <c r="O46" s="20">
        <v>0.0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8">
        <v>46067.77497363426</v>
      </c>
      <c r="B47" s="19">
        <v>242.0</v>
      </c>
      <c r="C47" s="19" t="s">
        <v>54</v>
      </c>
      <c r="D47" s="19" t="s">
        <v>6</v>
      </c>
      <c r="E47" s="19">
        <v>28400.0</v>
      </c>
      <c r="F47" s="20">
        <v>2.0</v>
      </c>
      <c r="G47" s="20">
        <v>8.4</v>
      </c>
      <c r="I47" s="6">
        <v>0.0</v>
      </c>
      <c r="J47" s="6">
        <v>1.0</v>
      </c>
      <c r="K47" s="6">
        <v>0.0</v>
      </c>
      <c r="L47" s="6">
        <v>0.0</v>
      </c>
      <c r="M47" s="6">
        <v>0.0</v>
      </c>
      <c r="N47" s="20">
        <v>0.0</v>
      </c>
      <c r="O47" s="20">
        <v>0.0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8">
        <v>46067.77497363426</v>
      </c>
      <c r="B48" s="19">
        <v>242.0</v>
      </c>
      <c r="C48" s="19" t="s">
        <v>55</v>
      </c>
      <c r="D48" s="19" t="s">
        <v>5</v>
      </c>
      <c r="E48" s="19">
        <v>19000.0</v>
      </c>
      <c r="F48" s="20">
        <v>4.0</v>
      </c>
      <c r="G48" s="20">
        <v>-31.0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20">
        <v>0.0</v>
      </c>
      <c r="O48" s="20">
        <v>0.0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8">
        <v>46067.77497363426</v>
      </c>
      <c r="B49" s="19">
        <v>242.0</v>
      </c>
      <c r="C49" s="19" t="s">
        <v>56</v>
      </c>
      <c r="D49" s="19" t="s">
        <v>15</v>
      </c>
      <c r="E49" s="19">
        <v>32200.0</v>
      </c>
      <c r="F49" s="20">
        <v>1.0</v>
      </c>
      <c r="G49" s="20">
        <v>42.2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20">
        <v>0.0</v>
      </c>
      <c r="O49" s="20">
        <v>0.0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8">
        <v>46067.73660099537</v>
      </c>
      <c r="B50" s="19">
        <v>241.0</v>
      </c>
      <c r="C50" s="19" t="s">
        <v>53</v>
      </c>
      <c r="D50" s="19" t="s">
        <v>5</v>
      </c>
      <c r="E50" s="19">
        <v>18600.0</v>
      </c>
      <c r="F50" s="20">
        <v>3.0</v>
      </c>
      <c r="G50" s="20">
        <v>-21.4</v>
      </c>
      <c r="I50" s="6">
        <v>1.0</v>
      </c>
      <c r="J50" s="6">
        <v>0.0</v>
      </c>
      <c r="K50" s="6">
        <v>0.0</v>
      </c>
      <c r="L50" s="6">
        <v>0.0</v>
      </c>
      <c r="M50" s="6">
        <v>0.0</v>
      </c>
      <c r="N50" s="20">
        <v>0.0</v>
      </c>
      <c r="O50" s="20">
        <v>0.0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8">
        <v>46067.73660099537</v>
      </c>
      <c r="B51" s="19">
        <v>241.0</v>
      </c>
      <c r="C51" s="19" t="s">
        <v>54</v>
      </c>
      <c r="D51" s="19" t="s">
        <v>15</v>
      </c>
      <c r="E51" s="19">
        <v>29500.0</v>
      </c>
      <c r="F51" s="20">
        <v>2.0</v>
      </c>
      <c r="G51" s="20">
        <v>9.5</v>
      </c>
      <c r="I51" s="6">
        <v>1.0</v>
      </c>
      <c r="J51" s="6">
        <v>0.0</v>
      </c>
      <c r="K51" s="6">
        <v>0.0</v>
      </c>
      <c r="L51" s="6">
        <v>0.0</v>
      </c>
      <c r="M51" s="6">
        <v>0.0</v>
      </c>
      <c r="N51" s="20">
        <v>0.0</v>
      </c>
      <c r="O51" s="20">
        <v>0.0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8">
        <v>46067.73660099537</v>
      </c>
      <c r="B52" s="19">
        <v>241.0</v>
      </c>
      <c r="C52" s="19" t="s">
        <v>55</v>
      </c>
      <c r="D52" s="19" t="s">
        <v>8</v>
      </c>
      <c r="E52" s="19">
        <v>17700.0</v>
      </c>
      <c r="F52" s="20">
        <v>4.0</v>
      </c>
      <c r="G52" s="20">
        <v>-32.3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20">
        <v>0.0</v>
      </c>
      <c r="O52" s="20">
        <v>0.0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8">
        <v>46067.73660099537</v>
      </c>
      <c r="B53" s="19">
        <v>241.0</v>
      </c>
      <c r="C53" s="19" t="s">
        <v>56</v>
      </c>
      <c r="D53" s="19" t="s">
        <v>6</v>
      </c>
      <c r="E53" s="19">
        <v>34200.0</v>
      </c>
      <c r="F53" s="20">
        <v>1.0</v>
      </c>
      <c r="G53" s="20">
        <v>44.2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20">
        <v>0.0</v>
      </c>
      <c r="O53" s="20">
        <v>0.0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8">
        <v>46067.6861041088</v>
      </c>
      <c r="B54" s="19">
        <v>240.0</v>
      </c>
      <c r="C54" s="19" t="s">
        <v>53</v>
      </c>
      <c r="D54" s="19" t="s">
        <v>15</v>
      </c>
      <c r="E54" s="19">
        <v>24800.0</v>
      </c>
      <c r="F54" s="20">
        <v>2.0</v>
      </c>
      <c r="G54" s="20">
        <v>4.8</v>
      </c>
      <c r="I54" s="6">
        <v>1.0</v>
      </c>
      <c r="J54" s="6">
        <v>0.0</v>
      </c>
      <c r="K54" s="6">
        <v>0.0</v>
      </c>
      <c r="L54" s="6">
        <v>0.0</v>
      </c>
      <c r="M54" s="6">
        <v>0.0</v>
      </c>
      <c r="N54" s="20">
        <v>0.0</v>
      </c>
      <c r="O54" s="20">
        <v>0.0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18">
        <v>46067.6861041088</v>
      </c>
      <c r="B55" s="19">
        <v>240.0</v>
      </c>
      <c r="C55" s="19" t="s">
        <v>54</v>
      </c>
      <c r="D55" s="19" t="s">
        <v>5</v>
      </c>
      <c r="E55" s="19">
        <v>59300.0</v>
      </c>
      <c r="F55" s="20">
        <v>1.0</v>
      </c>
      <c r="G55" s="20">
        <v>69.3</v>
      </c>
      <c r="I55" s="6">
        <v>1.0</v>
      </c>
      <c r="J55" s="6">
        <v>0.0</v>
      </c>
      <c r="K55" s="6">
        <v>0.0</v>
      </c>
      <c r="L55" s="6">
        <v>0.0</v>
      </c>
      <c r="M55" s="6">
        <v>0.0</v>
      </c>
      <c r="N55" s="20">
        <v>0.0</v>
      </c>
      <c r="O55" s="20">
        <v>0.0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8">
        <v>46067.6861041088</v>
      </c>
      <c r="B56" s="19">
        <v>240.0</v>
      </c>
      <c r="C56" s="19" t="s">
        <v>55</v>
      </c>
      <c r="D56" s="19" t="s">
        <v>6</v>
      </c>
      <c r="E56" s="19">
        <v>16200.0</v>
      </c>
      <c r="F56" s="20">
        <v>3.0</v>
      </c>
      <c r="G56" s="20">
        <v>-23.8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20">
        <v>0.0</v>
      </c>
      <c r="O56" s="20">
        <v>0.0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18">
        <v>46067.6861041088</v>
      </c>
      <c r="B57" s="19">
        <v>240.0</v>
      </c>
      <c r="C57" s="19" t="s">
        <v>56</v>
      </c>
      <c r="D57" s="19" t="s">
        <v>8</v>
      </c>
      <c r="E57" s="19">
        <v>-300.0</v>
      </c>
      <c r="F57" s="20">
        <v>4.0</v>
      </c>
      <c r="G57" s="20">
        <v>-50.3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20">
        <v>0.0</v>
      </c>
      <c r="O57" s="20">
        <v>0.0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18">
        <v>46067.68115364583</v>
      </c>
      <c r="B58" s="19">
        <v>239.0</v>
      </c>
      <c r="C58" s="19" t="s">
        <v>53</v>
      </c>
      <c r="D58" s="19" t="s">
        <v>8</v>
      </c>
      <c r="E58" s="19">
        <v>32000.0</v>
      </c>
      <c r="F58" s="20">
        <v>1.0</v>
      </c>
      <c r="G58" s="20">
        <v>42.0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20">
        <v>0.0</v>
      </c>
      <c r="O58" s="20">
        <v>0.0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18">
        <v>46067.68115364583</v>
      </c>
      <c r="B59" s="19">
        <v>239.0</v>
      </c>
      <c r="C59" s="19" t="s">
        <v>54</v>
      </c>
      <c r="D59" s="19" t="s">
        <v>15</v>
      </c>
      <c r="E59" s="19">
        <v>30800.0</v>
      </c>
      <c r="F59" s="20">
        <v>2.0</v>
      </c>
      <c r="G59" s="20">
        <v>10.8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20">
        <v>0.0</v>
      </c>
      <c r="O59" s="20">
        <v>0.0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18">
        <v>46067.68115364583</v>
      </c>
      <c r="B60" s="19">
        <v>239.0</v>
      </c>
      <c r="C60" s="19" t="s">
        <v>55</v>
      </c>
      <c r="D60" s="19" t="s">
        <v>6</v>
      </c>
      <c r="E60" s="19">
        <v>22100.0</v>
      </c>
      <c r="F60" s="20">
        <v>3.0</v>
      </c>
      <c r="G60" s="20">
        <v>-17.9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20">
        <v>0.0</v>
      </c>
      <c r="O60" s="20">
        <v>0.0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18">
        <v>46067.68115364583</v>
      </c>
      <c r="B61" s="19">
        <v>239.0</v>
      </c>
      <c r="C61" s="19" t="s">
        <v>56</v>
      </c>
      <c r="D61" s="19" t="s">
        <v>5</v>
      </c>
      <c r="E61" s="19">
        <v>15100.0</v>
      </c>
      <c r="F61" s="20">
        <v>4.0</v>
      </c>
      <c r="G61" s="20">
        <v>-34.9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20">
        <v>0.0</v>
      </c>
      <c r="O61" s="20">
        <v>0.0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18">
        <v>46067.56413105324</v>
      </c>
      <c r="B62" s="19">
        <v>238.0</v>
      </c>
      <c r="C62" s="19" t="s">
        <v>53</v>
      </c>
      <c r="D62" s="19" t="s">
        <v>8</v>
      </c>
      <c r="E62" s="19">
        <v>26100.0</v>
      </c>
      <c r="F62" s="20">
        <v>2.0</v>
      </c>
      <c r="G62" s="20">
        <v>6.1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20">
        <v>0.0</v>
      </c>
      <c r="O62" s="20">
        <v>0.0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18">
        <v>46067.56413105324</v>
      </c>
      <c r="B63" s="19">
        <v>238.0</v>
      </c>
      <c r="C63" s="19" t="s">
        <v>54</v>
      </c>
      <c r="D63" s="19" t="s">
        <v>15</v>
      </c>
      <c r="E63" s="19">
        <v>25500.0</v>
      </c>
      <c r="F63" s="20">
        <v>3.0</v>
      </c>
      <c r="G63" s="20">
        <v>-14.5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20">
        <v>0.0</v>
      </c>
      <c r="O63" s="20">
        <v>0.0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18">
        <v>46067.56413105324</v>
      </c>
      <c r="B64" s="19">
        <v>238.0</v>
      </c>
      <c r="C64" s="19" t="s">
        <v>55</v>
      </c>
      <c r="D64" s="19" t="s">
        <v>6</v>
      </c>
      <c r="E64" s="19">
        <v>33700.0</v>
      </c>
      <c r="F64" s="20">
        <v>1.0</v>
      </c>
      <c r="G64" s="20">
        <v>43.7</v>
      </c>
      <c r="I64" s="6">
        <v>0.0</v>
      </c>
      <c r="J64" s="6">
        <v>0.0</v>
      </c>
      <c r="K64" s="6">
        <v>1.0</v>
      </c>
      <c r="L64" s="6">
        <v>0.0</v>
      </c>
      <c r="M64" s="6">
        <v>0.0</v>
      </c>
      <c r="N64" s="20">
        <v>0.0</v>
      </c>
      <c r="O64" s="20">
        <v>0.0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18">
        <v>46067.56413105324</v>
      </c>
      <c r="B65" s="19">
        <v>238.0</v>
      </c>
      <c r="C65" s="19" t="s">
        <v>56</v>
      </c>
      <c r="D65" s="19" t="s">
        <v>5</v>
      </c>
      <c r="E65" s="19">
        <v>14700.0</v>
      </c>
      <c r="F65" s="20">
        <v>4.0</v>
      </c>
      <c r="G65" s="20">
        <v>-35.3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20">
        <v>0.0</v>
      </c>
      <c r="O65" s="20">
        <v>0.0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18">
        <v>46060.95427993056</v>
      </c>
      <c r="B66" s="19">
        <v>237.0</v>
      </c>
      <c r="C66" s="19" t="s">
        <v>53</v>
      </c>
      <c r="D66" s="19" t="s">
        <v>9</v>
      </c>
      <c r="E66" s="19">
        <v>46200.0</v>
      </c>
      <c r="F66" s="20">
        <v>1.0</v>
      </c>
      <c r="G66" s="20">
        <v>56.2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20">
        <v>0.0</v>
      </c>
      <c r="O66" s="20">
        <v>0.0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18">
        <v>46060.95427993056</v>
      </c>
      <c r="B67" s="19">
        <v>237.0</v>
      </c>
      <c r="C67" s="19" t="s">
        <v>54</v>
      </c>
      <c r="D67" s="19" t="s">
        <v>10</v>
      </c>
      <c r="E67" s="19">
        <v>-3300.0</v>
      </c>
      <c r="F67" s="20">
        <v>4.0</v>
      </c>
      <c r="G67" s="20">
        <v>-53.3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20">
        <v>0.0</v>
      </c>
      <c r="O67" s="20">
        <v>0.0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18">
        <v>46060.95427993056</v>
      </c>
      <c r="B68" s="19">
        <v>237.0</v>
      </c>
      <c r="C68" s="19" t="s">
        <v>55</v>
      </c>
      <c r="D68" s="19" t="s">
        <v>14</v>
      </c>
      <c r="E68" s="19">
        <v>27800.0</v>
      </c>
      <c r="F68" s="20">
        <v>3.0</v>
      </c>
      <c r="G68" s="20">
        <v>-12.2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20">
        <v>0.0</v>
      </c>
      <c r="O68" s="20">
        <v>0.0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18">
        <v>46060.95427993056</v>
      </c>
      <c r="B69" s="19">
        <v>237.0</v>
      </c>
      <c r="C69" s="19" t="s">
        <v>56</v>
      </c>
      <c r="D69" s="19" t="s">
        <v>6</v>
      </c>
      <c r="E69" s="19">
        <v>29300.0</v>
      </c>
      <c r="F69" s="20">
        <v>2.0</v>
      </c>
      <c r="G69" s="20">
        <v>9.3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20">
        <v>0.0</v>
      </c>
      <c r="O69" s="20">
        <v>0.0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18">
        <v>46060.89440142361</v>
      </c>
      <c r="B70" s="19">
        <v>236.0</v>
      </c>
      <c r="C70" s="19" t="s">
        <v>53</v>
      </c>
      <c r="D70" s="19" t="s">
        <v>14</v>
      </c>
      <c r="E70" s="19">
        <v>56900.0</v>
      </c>
      <c r="F70" s="20">
        <v>1.0</v>
      </c>
      <c r="G70" s="20">
        <v>66.9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20">
        <v>0.0</v>
      </c>
      <c r="O70" s="20">
        <v>0.0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18">
        <v>46060.89440142361</v>
      </c>
      <c r="B71" s="19">
        <v>236.0</v>
      </c>
      <c r="C71" s="19" t="s">
        <v>54</v>
      </c>
      <c r="D71" s="19" t="s">
        <v>10</v>
      </c>
      <c r="E71" s="19">
        <v>21500.0</v>
      </c>
      <c r="F71" s="20">
        <v>3.0</v>
      </c>
      <c r="G71" s="20">
        <v>-18.5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20">
        <v>0.0</v>
      </c>
      <c r="O71" s="20">
        <v>0.0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18">
        <v>46060.89440142361</v>
      </c>
      <c r="B72" s="19">
        <v>236.0</v>
      </c>
      <c r="C72" s="19" t="s">
        <v>55</v>
      </c>
      <c r="D72" s="19" t="s">
        <v>9</v>
      </c>
      <c r="E72" s="19">
        <v>23100.0</v>
      </c>
      <c r="F72" s="20">
        <v>2.0</v>
      </c>
      <c r="G72" s="20">
        <v>3.0999999999999996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20">
        <v>0.0</v>
      </c>
      <c r="O72" s="20">
        <v>0.0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18">
        <v>46060.89440142361</v>
      </c>
      <c r="B73" s="19">
        <v>236.0</v>
      </c>
      <c r="C73" s="19" t="s">
        <v>56</v>
      </c>
      <c r="D73" s="19" t="s">
        <v>6</v>
      </c>
      <c r="E73" s="19">
        <v>-1500.0</v>
      </c>
      <c r="F73" s="20">
        <v>4.0</v>
      </c>
      <c r="G73" s="20">
        <v>-51.5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20">
        <v>0.0</v>
      </c>
      <c r="O73" s="20">
        <v>0.0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18">
        <v>46060.858764143515</v>
      </c>
      <c r="B74" s="19">
        <v>235.0</v>
      </c>
      <c r="C74" s="19" t="s">
        <v>53</v>
      </c>
      <c r="D74" s="19" t="s">
        <v>10</v>
      </c>
      <c r="E74" s="19">
        <v>42600.0</v>
      </c>
      <c r="F74" s="20">
        <v>1.0</v>
      </c>
      <c r="G74" s="20">
        <v>52.6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20">
        <v>0.0</v>
      </c>
      <c r="O74" s="20">
        <v>0.0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18">
        <v>46060.858764143515</v>
      </c>
      <c r="B75" s="19">
        <v>235.0</v>
      </c>
      <c r="C75" s="19" t="s">
        <v>54</v>
      </c>
      <c r="D75" s="19" t="s">
        <v>9</v>
      </c>
      <c r="E75" s="19">
        <v>35100.0</v>
      </c>
      <c r="F75" s="20">
        <v>2.0</v>
      </c>
      <c r="G75" s="20">
        <v>15.1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20">
        <v>0.0</v>
      </c>
      <c r="O75" s="20">
        <v>0.0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18">
        <v>46060.858764143515</v>
      </c>
      <c r="B76" s="19">
        <v>235.0</v>
      </c>
      <c r="C76" s="19" t="s">
        <v>55</v>
      </c>
      <c r="D76" s="19" t="s">
        <v>14</v>
      </c>
      <c r="E76" s="19">
        <v>-3200.0</v>
      </c>
      <c r="F76" s="20">
        <v>4.0</v>
      </c>
      <c r="G76" s="20">
        <v>-53.2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20">
        <v>0.0</v>
      </c>
      <c r="O76" s="20">
        <v>0.0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18">
        <v>46060.858764143515</v>
      </c>
      <c r="B77" s="19">
        <v>235.0</v>
      </c>
      <c r="C77" s="19" t="s">
        <v>56</v>
      </c>
      <c r="D77" s="19" t="s">
        <v>6</v>
      </c>
      <c r="E77" s="19">
        <v>25500.0</v>
      </c>
      <c r="F77" s="20">
        <v>3.0</v>
      </c>
      <c r="G77" s="20">
        <v>-14.5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20">
        <v>0.0</v>
      </c>
      <c r="O77" s="20">
        <v>0.0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18">
        <v>46060.83494881944</v>
      </c>
      <c r="B78" s="19">
        <v>234.0</v>
      </c>
      <c r="C78" s="19" t="s">
        <v>53</v>
      </c>
      <c r="D78" s="19" t="s">
        <v>6</v>
      </c>
      <c r="E78" s="19">
        <v>35600.0</v>
      </c>
      <c r="F78" s="20">
        <v>1.0</v>
      </c>
      <c r="G78" s="20">
        <v>45.6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20">
        <v>0.0</v>
      </c>
      <c r="O78" s="20">
        <v>0.0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18">
        <v>46060.83494881944</v>
      </c>
      <c r="B79" s="19">
        <v>234.0</v>
      </c>
      <c r="C79" s="19" t="s">
        <v>54</v>
      </c>
      <c r="D79" s="19" t="s">
        <v>14</v>
      </c>
      <c r="E79" s="19">
        <v>31800.0</v>
      </c>
      <c r="F79" s="20">
        <v>2.0</v>
      </c>
      <c r="G79" s="20">
        <v>11.8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20">
        <v>0.0</v>
      </c>
      <c r="O79" s="20">
        <v>0.0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8">
        <v>46060.83494881944</v>
      </c>
      <c r="B80" s="19">
        <v>234.0</v>
      </c>
      <c r="C80" s="19" t="s">
        <v>55</v>
      </c>
      <c r="D80" s="19" t="s">
        <v>10</v>
      </c>
      <c r="E80" s="19">
        <v>5700.0</v>
      </c>
      <c r="F80" s="20">
        <v>4.0</v>
      </c>
      <c r="G80" s="20">
        <v>-44.3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20">
        <v>0.0</v>
      </c>
      <c r="O80" s="20">
        <v>0.0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18">
        <v>46060.83494881944</v>
      </c>
      <c r="B81" s="19">
        <v>234.0</v>
      </c>
      <c r="C81" s="19" t="s">
        <v>56</v>
      </c>
      <c r="D81" s="19" t="s">
        <v>9</v>
      </c>
      <c r="E81" s="19">
        <v>26900.0</v>
      </c>
      <c r="F81" s="20">
        <v>3.0</v>
      </c>
      <c r="G81" s="20">
        <v>-13.1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20">
        <v>0.0</v>
      </c>
      <c r="O81" s="20">
        <v>0.0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18">
        <v>46060.75360791667</v>
      </c>
      <c r="B82" s="19">
        <v>233.0</v>
      </c>
      <c r="C82" s="19" t="s">
        <v>53</v>
      </c>
      <c r="D82" s="19" t="s">
        <v>9</v>
      </c>
      <c r="E82" s="19">
        <v>16400.0</v>
      </c>
      <c r="F82" s="20">
        <v>2.0</v>
      </c>
      <c r="G82" s="20">
        <v>-3.5999999999999996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20">
        <v>0.0</v>
      </c>
      <c r="O82" s="20">
        <v>0.0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18">
        <v>46060.75360791667</v>
      </c>
      <c r="B83" s="19">
        <v>233.0</v>
      </c>
      <c r="C83" s="19" t="s">
        <v>54</v>
      </c>
      <c r="D83" s="19" t="s">
        <v>10</v>
      </c>
      <c r="E83" s="19">
        <v>11700.0</v>
      </c>
      <c r="F83" s="20">
        <v>4.0</v>
      </c>
      <c r="G83" s="20">
        <v>-38.3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20">
        <v>0.0</v>
      </c>
      <c r="O83" s="20">
        <v>0.0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18">
        <v>46060.75360791667</v>
      </c>
      <c r="B84" s="19">
        <v>233.0</v>
      </c>
      <c r="C84" s="19" t="s">
        <v>55</v>
      </c>
      <c r="D84" s="19" t="s">
        <v>14</v>
      </c>
      <c r="E84" s="19">
        <v>56800.0</v>
      </c>
      <c r="F84" s="20">
        <v>1.0</v>
      </c>
      <c r="G84" s="20">
        <v>66.8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20">
        <v>0.0</v>
      </c>
      <c r="O84" s="20">
        <v>0.0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18">
        <v>46060.75360791667</v>
      </c>
      <c r="B85" s="19">
        <v>233.0</v>
      </c>
      <c r="C85" s="19" t="s">
        <v>56</v>
      </c>
      <c r="D85" s="19" t="s">
        <v>6</v>
      </c>
      <c r="E85" s="19">
        <v>15100.0</v>
      </c>
      <c r="F85" s="20">
        <v>3.0</v>
      </c>
      <c r="G85" s="20">
        <v>-24.9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20">
        <v>0.0</v>
      </c>
      <c r="O85" s="20">
        <v>0.0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18">
        <v>46060.7148891088</v>
      </c>
      <c r="B86" s="19">
        <v>232.0</v>
      </c>
      <c r="C86" s="19" t="s">
        <v>53</v>
      </c>
      <c r="D86" s="19" t="s">
        <v>10</v>
      </c>
      <c r="E86" s="19">
        <v>31900.0</v>
      </c>
      <c r="F86" s="20">
        <v>2.0</v>
      </c>
      <c r="G86" s="20">
        <v>11.9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20">
        <v>0.0</v>
      </c>
      <c r="O86" s="20">
        <v>0.0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18">
        <v>46060.7148891088</v>
      </c>
      <c r="B87" s="19">
        <v>232.0</v>
      </c>
      <c r="C87" s="19" t="s">
        <v>54</v>
      </c>
      <c r="D87" s="19" t="s">
        <v>6</v>
      </c>
      <c r="E87" s="19">
        <v>32400.0</v>
      </c>
      <c r="F87" s="20">
        <v>1.0</v>
      </c>
      <c r="G87" s="20">
        <v>42.4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20">
        <v>0.0</v>
      </c>
      <c r="O87" s="20">
        <v>0.0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18">
        <v>46060.7148891088</v>
      </c>
      <c r="B88" s="19">
        <v>232.0</v>
      </c>
      <c r="C88" s="19" t="s">
        <v>55</v>
      </c>
      <c r="D88" s="19" t="s">
        <v>9</v>
      </c>
      <c r="E88" s="19">
        <v>19700.0</v>
      </c>
      <c r="F88" s="20">
        <v>3.0</v>
      </c>
      <c r="G88" s="20">
        <v>-20.3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20">
        <v>0.0</v>
      </c>
      <c r="O88" s="20">
        <v>0.0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18">
        <v>46060.7148891088</v>
      </c>
      <c r="B89" s="19">
        <v>232.0</v>
      </c>
      <c r="C89" s="19" t="s">
        <v>56</v>
      </c>
      <c r="D89" s="19" t="s">
        <v>14</v>
      </c>
      <c r="E89" s="19">
        <v>16000.0</v>
      </c>
      <c r="F89" s="20">
        <v>4.0</v>
      </c>
      <c r="G89" s="20">
        <v>-34.0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20">
        <v>0.0</v>
      </c>
      <c r="O89" s="20">
        <v>0.0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18">
        <v>46060.666049293985</v>
      </c>
      <c r="B90" s="19">
        <v>231.0</v>
      </c>
      <c r="C90" s="19" t="s">
        <v>53</v>
      </c>
      <c r="D90" s="19" t="s">
        <v>14</v>
      </c>
      <c r="E90" s="19">
        <v>35800.0</v>
      </c>
      <c r="F90" s="20">
        <v>2.0</v>
      </c>
      <c r="G90" s="20">
        <v>15.8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20">
        <v>0.0</v>
      </c>
      <c r="O90" s="20">
        <v>0.0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18">
        <v>46060.666049293985</v>
      </c>
      <c r="B91" s="19">
        <v>231.0</v>
      </c>
      <c r="C91" s="19" t="s">
        <v>54</v>
      </c>
      <c r="D91" s="19" t="s">
        <v>9</v>
      </c>
      <c r="E91" s="19">
        <v>3400.0</v>
      </c>
      <c r="F91" s="20">
        <v>4.0</v>
      </c>
      <c r="G91" s="20">
        <v>-46.6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20">
        <v>0.0</v>
      </c>
      <c r="O91" s="20">
        <v>0.0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18">
        <v>46060.666049293985</v>
      </c>
      <c r="B92" s="19">
        <v>231.0</v>
      </c>
      <c r="C92" s="19" t="s">
        <v>55</v>
      </c>
      <c r="D92" s="19" t="s">
        <v>10</v>
      </c>
      <c r="E92" s="19">
        <v>41100.0</v>
      </c>
      <c r="F92" s="20">
        <v>1.0</v>
      </c>
      <c r="G92" s="20">
        <v>51.1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20">
        <v>0.0</v>
      </c>
      <c r="O92" s="20">
        <v>0.0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18">
        <v>46060.666049293985</v>
      </c>
      <c r="B93" s="19">
        <v>231.0</v>
      </c>
      <c r="C93" s="19" t="s">
        <v>56</v>
      </c>
      <c r="D93" s="19" t="s">
        <v>6</v>
      </c>
      <c r="E93" s="19">
        <v>19700.0</v>
      </c>
      <c r="F93" s="20">
        <v>3.0</v>
      </c>
      <c r="G93" s="20">
        <v>-20.3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20">
        <v>0.0</v>
      </c>
      <c r="O93" s="20">
        <v>0.0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18"/>
      <c r="B94" s="19"/>
      <c r="C94" s="19"/>
      <c r="D94" s="19"/>
      <c r="E94" s="19"/>
      <c r="F94" s="20"/>
      <c r="G94" s="20"/>
      <c r="I94" s="6"/>
      <c r="J94" s="6"/>
      <c r="K94" s="6"/>
      <c r="L94" s="6"/>
      <c r="M94" s="6"/>
      <c r="N94" s="20"/>
      <c r="O94" s="20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18"/>
      <c r="B95" s="19"/>
      <c r="C95" s="19"/>
      <c r="D95" s="19"/>
      <c r="E95" s="19"/>
      <c r="F95" s="20"/>
      <c r="G95" s="20"/>
      <c r="I95" s="6"/>
      <c r="J95" s="6"/>
      <c r="K95" s="6"/>
      <c r="L95" s="6"/>
      <c r="M95" s="6"/>
      <c r="N95" s="20"/>
      <c r="O95" s="20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18"/>
      <c r="B96" s="19"/>
      <c r="C96" s="19"/>
      <c r="D96" s="19"/>
      <c r="E96" s="19"/>
      <c r="F96" s="20"/>
      <c r="G96" s="20"/>
      <c r="I96" s="6"/>
      <c r="J96" s="6"/>
      <c r="K96" s="6"/>
      <c r="L96" s="6"/>
      <c r="M96" s="6"/>
      <c r="N96" s="20"/>
      <c r="O96" s="20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18"/>
      <c r="B97" s="19"/>
      <c r="C97" s="19"/>
      <c r="D97" s="19"/>
      <c r="E97" s="19"/>
      <c r="F97" s="20"/>
      <c r="G97" s="20"/>
      <c r="I97" s="6"/>
      <c r="J97" s="6"/>
      <c r="K97" s="6"/>
      <c r="L97" s="6"/>
      <c r="M97" s="6"/>
      <c r="N97" s="20"/>
      <c r="O97" s="20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18">
        <v>46060.63065478009</v>
      </c>
      <c r="B98" s="19">
        <v>230.0</v>
      </c>
      <c r="C98" s="19" t="s">
        <v>53</v>
      </c>
      <c r="D98" s="19" t="s">
        <v>6</v>
      </c>
      <c r="E98" s="19">
        <v>55700.0</v>
      </c>
      <c r="F98" s="20">
        <v>1.0</v>
      </c>
      <c r="G98" s="20">
        <v>65.7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20">
        <v>0.0</v>
      </c>
      <c r="O98" s="20">
        <v>0.0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18">
        <v>46060.63065478009</v>
      </c>
      <c r="B99" s="19">
        <v>230.0</v>
      </c>
      <c r="C99" s="19" t="s">
        <v>54</v>
      </c>
      <c r="D99" s="19" t="s">
        <v>9</v>
      </c>
      <c r="E99" s="19">
        <v>-1200.0</v>
      </c>
      <c r="F99" s="20">
        <v>4.0</v>
      </c>
      <c r="G99" s="20">
        <v>-51.2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20">
        <v>0.0</v>
      </c>
      <c r="O99" s="20">
        <v>0.0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18">
        <v>46060.63065478009</v>
      </c>
      <c r="B100" s="19">
        <v>230.0</v>
      </c>
      <c r="C100" s="19" t="s">
        <v>55</v>
      </c>
      <c r="D100" s="19" t="s">
        <v>10</v>
      </c>
      <c r="E100" s="19">
        <v>26800.0</v>
      </c>
      <c r="F100" s="20">
        <v>2.0</v>
      </c>
      <c r="G100" s="20">
        <v>6.8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20">
        <v>0.0</v>
      </c>
      <c r="O100" s="20">
        <v>0.0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18">
        <v>46060.63065478009</v>
      </c>
      <c r="B101" s="19">
        <v>230.0</v>
      </c>
      <c r="C101" s="19" t="s">
        <v>56</v>
      </c>
      <c r="D101" s="19" t="s">
        <v>14</v>
      </c>
      <c r="E101" s="19">
        <v>18700.0</v>
      </c>
      <c r="F101" s="20">
        <v>3.0</v>
      </c>
      <c r="G101" s="20">
        <v>-21.3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20">
        <v>0.0</v>
      </c>
      <c r="O101" s="20">
        <v>0.0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18">
        <v>46060.59278803241</v>
      </c>
      <c r="B102" s="19">
        <v>229.0</v>
      </c>
      <c r="C102" s="19" t="s">
        <v>53</v>
      </c>
      <c r="D102" s="19" t="s">
        <v>10</v>
      </c>
      <c r="E102" s="19">
        <v>21400.0</v>
      </c>
      <c r="F102" s="20">
        <v>3.0</v>
      </c>
      <c r="G102" s="20">
        <v>-18.6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20">
        <v>0.0</v>
      </c>
      <c r="O102" s="20">
        <v>0.0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18">
        <v>46060.59278803241</v>
      </c>
      <c r="B103" s="19">
        <v>229.0</v>
      </c>
      <c r="C103" s="19" t="s">
        <v>54</v>
      </c>
      <c r="D103" s="19" t="s">
        <v>14</v>
      </c>
      <c r="E103" s="19">
        <v>13000.0</v>
      </c>
      <c r="F103" s="20">
        <v>4.0</v>
      </c>
      <c r="G103" s="20">
        <v>-37.0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20">
        <v>0.0</v>
      </c>
      <c r="O103" s="20">
        <v>0.0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18">
        <v>46060.59278803241</v>
      </c>
      <c r="B104" s="19">
        <v>229.0</v>
      </c>
      <c r="C104" s="19" t="s">
        <v>55</v>
      </c>
      <c r="D104" s="19" t="s">
        <v>9</v>
      </c>
      <c r="E104" s="19">
        <v>31500.0</v>
      </c>
      <c r="F104" s="20">
        <v>2.0</v>
      </c>
      <c r="G104" s="20">
        <v>11.5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20">
        <v>0.0</v>
      </c>
      <c r="O104" s="20">
        <v>0.0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18">
        <v>46060.59278803241</v>
      </c>
      <c r="B105" s="19">
        <v>229.0</v>
      </c>
      <c r="C105" s="19" t="s">
        <v>56</v>
      </c>
      <c r="D105" s="19" t="s">
        <v>6</v>
      </c>
      <c r="E105" s="19">
        <v>34100.0</v>
      </c>
      <c r="F105" s="20">
        <v>1.0</v>
      </c>
      <c r="G105" s="20">
        <v>44.1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20">
        <v>0.0</v>
      </c>
      <c r="O105" s="20">
        <v>0.0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18">
        <v>46060.54814479167</v>
      </c>
      <c r="B106" s="19">
        <v>228.0</v>
      </c>
      <c r="C106" s="19" t="s">
        <v>53</v>
      </c>
      <c r="D106" s="19" t="s">
        <v>9</v>
      </c>
      <c r="E106" s="19">
        <v>24100.0</v>
      </c>
      <c r="F106" s="20">
        <v>2.0</v>
      </c>
      <c r="G106" s="20">
        <v>4.1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20">
        <v>0.0</v>
      </c>
      <c r="O106" s="20">
        <v>0.0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18">
        <v>46060.54814479167</v>
      </c>
      <c r="B107" s="19">
        <v>228.0</v>
      </c>
      <c r="C107" s="19" t="s">
        <v>54</v>
      </c>
      <c r="D107" s="19" t="s">
        <v>14</v>
      </c>
      <c r="E107" s="19">
        <v>49900.0</v>
      </c>
      <c r="F107" s="20">
        <v>1.0</v>
      </c>
      <c r="G107" s="20">
        <v>59.9</v>
      </c>
      <c r="I107" s="6">
        <v>1.0</v>
      </c>
      <c r="J107" s="6">
        <v>0.0</v>
      </c>
      <c r="K107" s="6">
        <v>0.0</v>
      </c>
      <c r="L107" s="6">
        <v>0.0</v>
      </c>
      <c r="M107" s="6">
        <v>0.0</v>
      </c>
      <c r="N107" s="20">
        <v>0.0</v>
      </c>
      <c r="O107" s="20">
        <v>0.0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18">
        <v>46060.54814479167</v>
      </c>
      <c r="B108" s="19">
        <v>228.0</v>
      </c>
      <c r="C108" s="19" t="s">
        <v>55</v>
      </c>
      <c r="D108" s="19" t="s">
        <v>10</v>
      </c>
      <c r="E108" s="19">
        <v>13500.0</v>
      </c>
      <c r="F108" s="20">
        <v>3.0</v>
      </c>
      <c r="G108" s="20">
        <v>-26.5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20">
        <v>0.0</v>
      </c>
      <c r="O108" s="20">
        <v>0.0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18">
        <v>46060.54814479167</v>
      </c>
      <c r="B109" s="19">
        <v>228.0</v>
      </c>
      <c r="C109" s="19" t="s">
        <v>56</v>
      </c>
      <c r="D109" s="19" t="s">
        <v>6</v>
      </c>
      <c r="E109" s="19">
        <v>12500.0</v>
      </c>
      <c r="F109" s="20">
        <v>4.0</v>
      </c>
      <c r="G109" s="20">
        <v>-37.5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20">
        <v>0.0</v>
      </c>
      <c r="O109" s="20">
        <v>0.0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18">
        <v>46053.964345925924</v>
      </c>
      <c r="B110" s="19">
        <v>227.0</v>
      </c>
      <c r="C110" s="19" t="s">
        <v>53</v>
      </c>
      <c r="D110" s="19" t="s">
        <v>7</v>
      </c>
      <c r="E110" s="19">
        <v>19900.0</v>
      </c>
      <c r="F110" s="20">
        <v>4.0</v>
      </c>
      <c r="G110" s="20">
        <v>-30.1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20">
        <v>0.0</v>
      </c>
      <c r="O110" s="20">
        <v>0.0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18">
        <v>46053.964345925924</v>
      </c>
      <c r="B111" s="19">
        <v>227.0</v>
      </c>
      <c r="C111" s="19" t="s">
        <v>54</v>
      </c>
      <c r="D111" s="19" t="s">
        <v>6</v>
      </c>
      <c r="E111" s="19">
        <v>23500.0</v>
      </c>
      <c r="F111" s="20">
        <v>2.0</v>
      </c>
      <c r="G111" s="20">
        <v>3.5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20">
        <v>0.0</v>
      </c>
      <c r="O111" s="20">
        <v>0.0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18">
        <v>46053.964345925924</v>
      </c>
      <c r="B112" s="19">
        <v>227.0</v>
      </c>
      <c r="C112" s="19" t="s">
        <v>55</v>
      </c>
      <c r="D112" s="19" t="s">
        <v>24</v>
      </c>
      <c r="E112" s="19">
        <v>22800.0</v>
      </c>
      <c r="F112" s="20">
        <v>3.0</v>
      </c>
      <c r="G112" s="20">
        <v>-17.2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20">
        <v>0.0</v>
      </c>
      <c r="O112" s="20">
        <v>0.0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18">
        <v>46053.964345925924</v>
      </c>
      <c r="B113" s="19">
        <v>227.0</v>
      </c>
      <c r="C113" s="19" t="s">
        <v>56</v>
      </c>
      <c r="D113" s="19" t="s">
        <v>13</v>
      </c>
      <c r="E113" s="19">
        <v>33800.0</v>
      </c>
      <c r="F113" s="20">
        <v>1.0</v>
      </c>
      <c r="G113" s="20">
        <v>43.8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20">
        <v>0.0</v>
      </c>
      <c r="O113" s="20">
        <v>0.0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18">
        <v>46053.932837685184</v>
      </c>
      <c r="B114" s="19">
        <v>226.0</v>
      </c>
      <c r="C114" s="19" t="s">
        <v>53</v>
      </c>
      <c r="D114" s="19" t="s">
        <v>9</v>
      </c>
      <c r="E114" s="19">
        <v>32700.0</v>
      </c>
      <c r="F114" s="20">
        <v>2.0</v>
      </c>
      <c r="G114" s="20">
        <v>12.7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20">
        <v>0.0</v>
      </c>
      <c r="O114" s="20">
        <v>0.0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18">
        <v>46053.932837685184</v>
      </c>
      <c r="B115" s="19">
        <v>226.0</v>
      </c>
      <c r="C115" s="19" t="s">
        <v>54</v>
      </c>
      <c r="D115" s="19" t="s">
        <v>31</v>
      </c>
      <c r="E115" s="19">
        <v>-6100.0</v>
      </c>
      <c r="F115" s="20">
        <v>4.0</v>
      </c>
      <c r="G115" s="20">
        <v>-56.1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20">
        <v>0.0</v>
      </c>
      <c r="O115" s="20">
        <v>0.0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18">
        <v>46053.932837685184</v>
      </c>
      <c r="B116" s="19">
        <v>226.0</v>
      </c>
      <c r="C116" s="19" t="s">
        <v>55</v>
      </c>
      <c r="D116" s="19" t="s">
        <v>14</v>
      </c>
      <c r="E116" s="19">
        <v>59600.0</v>
      </c>
      <c r="F116" s="20">
        <v>1.0</v>
      </c>
      <c r="G116" s="20">
        <v>69.6</v>
      </c>
      <c r="I116" s="6">
        <v>0.0</v>
      </c>
      <c r="J116" s="6">
        <v>1.0</v>
      </c>
      <c r="K116" s="6">
        <v>0.0</v>
      </c>
      <c r="L116" s="6">
        <v>0.0</v>
      </c>
      <c r="M116" s="6">
        <v>0.0</v>
      </c>
      <c r="N116" s="20">
        <v>0.0</v>
      </c>
      <c r="O116" s="20">
        <v>0.0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18">
        <v>46053.932837685184</v>
      </c>
      <c r="B117" s="19">
        <v>226.0</v>
      </c>
      <c r="C117" s="19" t="s">
        <v>56</v>
      </c>
      <c r="D117" s="19" t="s">
        <v>15</v>
      </c>
      <c r="E117" s="19">
        <v>13800.0</v>
      </c>
      <c r="F117" s="20">
        <v>3.0</v>
      </c>
      <c r="G117" s="20">
        <v>-26.2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20">
        <v>0.0</v>
      </c>
      <c r="O117" s="20">
        <v>0.0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18">
        <v>46053.906101064815</v>
      </c>
      <c r="B118" s="19">
        <v>225.0</v>
      </c>
      <c r="C118" s="19" t="s">
        <v>53</v>
      </c>
      <c r="D118" s="19" t="s">
        <v>24</v>
      </c>
      <c r="E118" s="19">
        <v>18600.0</v>
      </c>
      <c r="F118" s="20">
        <v>3.0</v>
      </c>
      <c r="G118" s="20">
        <v>-21.4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20">
        <v>0.0</v>
      </c>
      <c r="O118" s="20">
        <v>0.0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18">
        <v>46053.906101064815</v>
      </c>
      <c r="B119" s="19">
        <v>225.0</v>
      </c>
      <c r="C119" s="19" t="s">
        <v>54</v>
      </c>
      <c r="D119" s="19" t="s">
        <v>14</v>
      </c>
      <c r="E119" s="19">
        <v>12000.0</v>
      </c>
      <c r="F119" s="20">
        <v>4.0</v>
      </c>
      <c r="G119" s="20">
        <v>-38.0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20">
        <v>0.0</v>
      </c>
      <c r="O119" s="20">
        <v>0.0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18">
        <v>46053.906101064815</v>
      </c>
      <c r="B120" s="19">
        <v>225.0</v>
      </c>
      <c r="C120" s="19" t="s">
        <v>55</v>
      </c>
      <c r="D120" s="19" t="s">
        <v>9</v>
      </c>
      <c r="E120" s="19">
        <v>31000.0</v>
      </c>
      <c r="F120" s="20">
        <v>2.0</v>
      </c>
      <c r="G120" s="20">
        <v>11.0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20">
        <v>0.0</v>
      </c>
      <c r="O120" s="20">
        <v>0.0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18">
        <v>46053.906101064815</v>
      </c>
      <c r="B121" s="19">
        <v>225.0</v>
      </c>
      <c r="C121" s="19" t="s">
        <v>56</v>
      </c>
      <c r="D121" s="19" t="s">
        <v>7</v>
      </c>
      <c r="E121" s="19">
        <v>38400.0</v>
      </c>
      <c r="F121" s="20">
        <v>1.0</v>
      </c>
      <c r="G121" s="20">
        <v>48.4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20">
        <v>0.0</v>
      </c>
      <c r="O121" s="20">
        <v>0.0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18">
        <v>46053.90510724537</v>
      </c>
      <c r="B122" s="19">
        <v>224.0</v>
      </c>
      <c r="C122" s="19" t="s">
        <v>53</v>
      </c>
      <c r="D122" s="19" t="s">
        <v>13</v>
      </c>
      <c r="E122" s="19">
        <v>33400.0</v>
      </c>
      <c r="F122" s="20">
        <v>2.0</v>
      </c>
      <c r="G122" s="20">
        <v>13.4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20">
        <v>0.0</v>
      </c>
      <c r="O122" s="20">
        <v>0.0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18">
        <v>46053.90510724537</v>
      </c>
      <c r="B123" s="19">
        <v>224.0</v>
      </c>
      <c r="C123" s="19" t="s">
        <v>54</v>
      </c>
      <c r="D123" s="19" t="s">
        <v>15</v>
      </c>
      <c r="E123" s="19">
        <v>45600.0</v>
      </c>
      <c r="F123" s="20">
        <v>1.0</v>
      </c>
      <c r="G123" s="20">
        <v>55.6</v>
      </c>
      <c r="I123" s="6">
        <v>1.0</v>
      </c>
      <c r="J123" s="6">
        <v>0.0</v>
      </c>
      <c r="K123" s="6">
        <v>0.0</v>
      </c>
      <c r="L123" s="6">
        <v>0.0</v>
      </c>
      <c r="M123" s="6">
        <v>0.0</v>
      </c>
      <c r="N123" s="20">
        <v>0.0</v>
      </c>
      <c r="O123" s="20">
        <v>0.0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18">
        <v>46053.90510724537</v>
      </c>
      <c r="B124" s="19">
        <v>224.0</v>
      </c>
      <c r="C124" s="19" t="s">
        <v>55</v>
      </c>
      <c r="D124" s="19" t="s">
        <v>31</v>
      </c>
      <c r="E124" s="19">
        <v>2700.0</v>
      </c>
      <c r="F124" s="20">
        <v>4.0</v>
      </c>
      <c r="G124" s="20">
        <v>-47.3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20">
        <v>0.0</v>
      </c>
      <c r="O124" s="20">
        <v>0.0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18">
        <v>46053.90510724537</v>
      </c>
      <c r="B125" s="19">
        <v>224.0</v>
      </c>
      <c r="C125" s="19" t="s">
        <v>56</v>
      </c>
      <c r="D125" s="19" t="s">
        <v>6</v>
      </c>
      <c r="E125" s="19">
        <v>18300.0</v>
      </c>
      <c r="F125" s="20">
        <v>3.0</v>
      </c>
      <c r="G125" s="20">
        <v>-21.7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20">
        <v>0.0</v>
      </c>
      <c r="O125" s="20">
        <v>0.0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18">
        <v>46053.864507025464</v>
      </c>
      <c r="B126" s="19">
        <v>223.0</v>
      </c>
      <c r="C126" s="19" t="s">
        <v>53</v>
      </c>
      <c r="D126" s="19" t="s">
        <v>6</v>
      </c>
      <c r="E126" s="19">
        <v>32900.0</v>
      </c>
      <c r="F126" s="20">
        <v>1.0</v>
      </c>
      <c r="G126" s="20">
        <v>42.9</v>
      </c>
      <c r="I126" s="6">
        <v>0.0</v>
      </c>
      <c r="J126" s="6">
        <v>1.0</v>
      </c>
      <c r="K126" s="6">
        <v>0.0</v>
      </c>
      <c r="L126" s="6">
        <v>0.0</v>
      </c>
      <c r="M126" s="6">
        <v>0.0</v>
      </c>
      <c r="N126" s="20">
        <v>0.0</v>
      </c>
      <c r="O126" s="20">
        <v>0.0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18">
        <v>46053.864507025464</v>
      </c>
      <c r="B127" s="19">
        <v>223.0</v>
      </c>
      <c r="C127" s="19" t="s">
        <v>54</v>
      </c>
      <c r="D127" s="19" t="s">
        <v>31</v>
      </c>
      <c r="E127" s="19">
        <v>25000.0</v>
      </c>
      <c r="F127" s="20">
        <v>3.0</v>
      </c>
      <c r="G127" s="20">
        <v>-15.0</v>
      </c>
      <c r="I127" s="6">
        <v>1.0</v>
      </c>
      <c r="J127" s="6">
        <v>0.0</v>
      </c>
      <c r="K127" s="6">
        <v>0.0</v>
      </c>
      <c r="L127" s="6">
        <v>0.0</v>
      </c>
      <c r="M127" s="6">
        <v>0.0</v>
      </c>
      <c r="N127" s="20">
        <v>0.0</v>
      </c>
      <c r="O127" s="20">
        <v>0.0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18">
        <v>46053.864507025464</v>
      </c>
      <c r="B128" s="19">
        <v>223.0</v>
      </c>
      <c r="C128" s="19" t="s">
        <v>55</v>
      </c>
      <c r="D128" s="19" t="s">
        <v>24</v>
      </c>
      <c r="E128" s="19">
        <v>26200.0</v>
      </c>
      <c r="F128" s="20">
        <v>2.0</v>
      </c>
      <c r="G128" s="20">
        <v>6.2</v>
      </c>
      <c r="I128" s="6">
        <v>2.0</v>
      </c>
      <c r="J128" s="6">
        <v>0.0</v>
      </c>
      <c r="K128" s="6">
        <v>0.0</v>
      </c>
      <c r="L128" s="6">
        <v>0.0</v>
      </c>
      <c r="M128" s="6">
        <v>0.0</v>
      </c>
      <c r="N128" s="20">
        <v>0.0</v>
      </c>
      <c r="O128" s="20">
        <v>0.0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18">
        <v>46053.864507025464</v>
      </c>
      <c r="B129" s="19">
        <v>223.0</v>
      </c>
      <c r="C129" s="19" t="s">
        <v>56</v>
      </c>
      <c r="D129" s="19" t="s">
        <v>7</v>
      </c>
      <c r="E129" s="19">
        <v>15900.0</v>
      </c>
      <c r="F129" s="20">
        <v>4.0</v>
      </c>
      <c r="G129" s="20">
        <v>-34.1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20">
        <v>0.0</v>
      </c>
      <c r="O129" s="20">
        <v>0.0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18">
        <v>46053.85259915509</v>
      </c>
      <c r="B130" s="19">
        <v>222.0</v>
      </c>
      <c r="C130" s="19" t="s">
        <v>53</v>
      </c>
      <c r="D130" s="19" t="s">
        <v>13</v>
      </c>
      <c r="E130" s="19">
        <v>-6800.0</v>
      </c>
      <c r="F130" s="20">
        <v>4.0</v>
      </c>
      <c r="G130" s="20">
        <v>-56.8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20">
        <v>0.0</v>
      </c>
      <c r="O130" s="20">
        <v>0.0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18">
        <v>46053.85259915509</v>
      </c>
      <c r="B131" s="19">
        <v>222.0</v>
      </c>
      <c r="C131" s="19" t="s">
        <v>54</v>
      </c>
      <c r="D131" s="19" t="s">
        <v>15</v>
      </c>
      <c r="E131" s="19">
        <v>38500.0</v>
      </c>
      <c r="F131" s="20">
        <v>1.0</v>
      </c>
      <c r="G131" s="20">
        <v>48.5</v>
      </c>
      <c r="I131" s="6">
        <v>1.0</v>
      </c>
      <c r="J131" s="6">
        <v>0.0</v>
      </c>
      <c r="K131" s="6">
        <v>0.0</v>
      </c>
      <c r="L131" s="6">
        <v>0.0</v>
      </c>
      <c r="M131" s="6">
        <v>0.0</v>
      </c>
      <c r="N131" s="20">
        <v>0.0</v>
      </c>
      <c r="O131" s="20">
        <v>0.0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18">
        <v>46053.85259915509</v>
      </c>
      <c r="B132" s="19">
        <v>222.0</v>
      </c>
      <c r="C132" s="19" t="s">
        <v>55</v>
      </c>
      <c r="D132" s="19" t="s">
        <v>14</v>
      </c>
      <c r="E132" s="19">
        <v>37500.0</v>
      </c>
      <c r="F132" s="20">
        <v>2.0</v>
      </c>
      <c r="G132" s="20">
        <v>17.5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20">
        <v>0.0</v>
      </c>
      <c r="O132" s="20">
        <v>0.0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18">
        <v>46053.85259915509</v>
      </c>
      <c r="B133" s="19">
        <v>222.0</v>
      </c>
      <c r="C133" s="19" t="s">
        <v>56</v>
      </c>
      <c r="D133" s="19" t="s">
        <v>9</v>
      </c>
      <c r="E133" s="19">
        <v>30800.0</v>
      </c>
      <c r="F133" s="20">
        <v>3.0</v>
      </c>
      <c r="G133" s="20">
        <v>-9.2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20">
        <v>0.0</v>
      </c>
      <c r="O133" s="20">
        <v>0.0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18">
        <v>46053.77283740741</v>
      </c>
      <c r="B134" s="19">
        <v>221.0</v>
      </c>
      <c r="C134" s="19" t="s">
        <v>53</v>
      </c>
      <c r="D134" s="19" t="s">
        <v>14</v>
      </c>
      <c r="E134" s="19">
        <v>14000.0</v>
      </c>
      <c r="F134" s="20">
        <v>3.0</v>
      </c>
      <c r="G134" s="20">
        <v>-26.0</v>
      </c>
      <c r="I134" s="6">
        <v>0.0</v>
      </c>
      <c r="J134" s="6">
        <v>1.0</v>
      </c>
      <c r="K134" s="6">
        <v>0.0</v>
      </c>
      <c r="L134" s="6">
        <v>0.0</v>
      </c>
      <c r="M134" s="6">
        <v>0.0</v>
      </c>
      <c r="N134" s="20">
        <v>0.0</v>
      </c>
      <c r="O134" s="20">
        <v>0.0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18">
        <v>46053.77283740741</v>
      </c>
      <c r="B135" s="19">
        <v>221.0</v>
      </c>
      <c r="C135" s="19" t="s">
        <v>54</v>
      </c>
      <c r="D135" s="19" t="s">
        <v>9</v>
      </c>
      <c r="E135" s="19">
        <v>27900.0</v>
      </c>
      <c r="F135" s="20">
        <v>2.0</v>
      </c>
      <c r="G135" s="20">
        <v>7.9</v>
      </c>
      <c r="I135" s="6">
        <v>0.0</v>
      </c>
      <c r="J135" s="6">
        <v>1.0</v>
      </c>
      <c r="K135" s="6">
        <v>0.0</v>
      </c>
      <c r="L135" s="6">
        <v>0.0</v>
      </c>
      <c r="M135" s="6">
        <v>0.0</v>
      </c>
      <c r="N135" s="20">
        <v>0.0</v>
      </c>
      <c r="O135" s="20">
        <v>0.0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18">
        <v>46053.77283740741</v>
      </c>
      <c r="B136" s="19">
        <v>221.0</v>
      </c>
      <c r="C136" s="19" t="s">
        <v>55</v>
      </c>
      <c r="D136" s="19" t="s">
        <v>6</v>
      </c>
      <c r="E136" s="19">
        <v>5800.0</v>
      </c>
      <c r="F136" s="20">
        <v>4.0</v>
      </c>
      <c r="G136" s="20">
        <v>-44.2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20">
        <v>0.0</v>
      </c>
      <c r="O136" s="20">
        <v>0.0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18">
        <v>46053.77283740741</v>
      </c>
      <c r="B137" s="19">
        <v>221.0</v>
      </c>
      <c r="C137" s="19" t="s">
        <v>56</v>
      </c>
      <c r="D137" s="19" t="s">
        <v>15</v>
      </c>
      <c r="E137" s="19">
        <v>52300.0</v>
      </c>
      <c r="F137" s="20">
        <v>1.0</v>
      </c>
      <c r="G137" s="20">
        <v>62.3</v>
      </c>
      <c r="I137" s="6">
        <v>0.0</v>
      </c>
      <c r="J137" s="6">
        <v>2.0</v>
      </c>
      <c r="K137" s="6">
        <v>0.0</v>
      </c>
      <c r="L137" s="6">
        <v>0.0</v>
      </c>
      <c r="M137" s="6">
        <v>0.0</v>
      </c>
      <c r="N137" s="20">
        <v>0.0</v>
      </c>
      <c r="O137" s="20">
        <v>0.0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18">
        <v>46053.759902962964</v>
      </c>
      <c r="B138" s="19">
        <v>220.0</v>
      </c>
      <c r="C138" s="19" t="s">
        <v>53</v>
      </c>
      <c r="D138" s="19" t="s">
        <v>31</v>
      </c>
      <c r="E138" s="19">
        <v>28500.0</v>
      </c>
      <c r="F138" s="20">
        <v>2.0</v>
      </c>
      <c r="G138" s="20">
        <v>8.5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20">
        <v>0.0</v>
      </c>
      <c r="O138" s="20">
        <v>0.0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18">
        <v>46053.759902962964</v>
      </c>
      <c r="B139" s="19">
        <v>220.0</v>
      </c>
      <c r="C139" s="19" t="s">
        <v>54</v>
      </c>
      <c r="D139" s="19" t="s">
        <v>13</v>
      </c>
      <c r="E139" s="19">
        <v>41000.0</v>
      </c>
      <c r="F139" s="20">
        <v>1.0</v>
      </c>
      <c r="G139" s="20">
        <v>51.0</v>
      </c>
      <c r="I139" s="6">
        <v>0.0</v>
      </c>
      <c r="J139" s="6">
        <v>1.0</v>
      </c>
      <c r="K139" s="6">
        <v>0.0</v>
      </c>
      <c r="L139" s="6">
        <v>0.0</v>
      </c>
      <c r="M139" s="6">
        <v>0.0</v>
      </c>
      <c r="N139" s="20">
        <v>0.0</v>
      </c>
      <c r="O139" s="20">
        <v>0.0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18">
        <v>46053.759902962964</v>
      </c>
      <c r="B140" s="19">
        <v>220.0</v>
      </c>
      <c r="C140" s="19" t="s">
        <v>55</v>
      </c>
      <c r="D140" s="19" t="s">
        <v>7</v>
      </c>
      <c r="E140" s="19">
        <v>12800.0</v>
      </c>
      <c r="F140" s="20">
        <v>4.0</v>
      </c>
      <c r="G140" s="20">
        <v>-37.2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20">
        <v>0.0</v>
      </c>
      <c r="O140" s="20">
        <v>0.0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18">
        <v>46053.759902962964</v>
      </c>
      <c r="B141" s="19">
        <v>220.0</v>
      </c>
      <c r="C141" s="19" t="s">
        <v>56</v>
      </c>
      <c r="D141" s="19" t="s">
        <v>24</v>
      </c>
      <c r="E141" s="19">
        <v>17700.0</v>
      </c>
      <c r="F141" s="20">
        <v>3.0</v>
      </c>
      <c r="G141" s="20">
        <v>-22.3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20">
        <v>0.0</v>
      </c>
      <c r="O141" s="20">
        <v>0.0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18">
        <v>46053.701382025465</v>
      </c>
      <c r="B142" s="19">
        <v>219.0</v>
      </c>
      <c r="C142" s="19" t="s">
        <v>53</v>
      </c>
      <c r="D142" s="19" t="s">
        <v>24</v>
      </c>
      <c r="E142" s="19">
        <v>16100.0</v>
      </c>
      <c r="F142" s="20">
        <v>3.0</v>
      </c>
      <c r="G142" s="20">
        <v>-23.9</v>
      </c>
      <c r="I142" s="6">
        <v>0.0</v>
      </c>
      <c r="J142" s="6">
        <v>1.0</v>
      </c>
      <c r="K142" s="6">
        <v>0.0</v>
      </c>
      <c r="L142" s="6">
        <v>0.0</v>
      </c>
      <c r="M142" s="6">
        <v>0.0</v>
      </c>
      <c r="N142" s="20">
        <v>0.0</v>
      </c>
      <c r="O142" s="20">
        <v>0.0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18">
        <v>46053.701382025465</v>
      </c>
      <c r="B143" s="19">
        <v>219.0</v>
      </c>
      <c r="C143" s="19" t="s">
        <v>54</v>
      </c>
      <c r="D143" s="19" t="s">
        <v>15</v>
      </c>
      <c r="E143" s="19">
        <v>25900.0</v>
      </c>
      <c r="F143" s="20">
        <v>2.0</v>
      </c>
      <c r="G143" s="20">
        <v>5.9</v>
      </c>
      <c r="I143" s="6">
        <v>1.0</v>
      </c>
      <c r="J143" s="6">
        <v>0.0</v>
      </c>
      <c r="K143" s="6">
        <v>0.0</v>
      </c>
      <c r="L143" s="6">
        <v>0.0</v>
      </c>
      <c r="M143" s="6">
        <v>0.0</v>
      </c>
      <c r="N143" s="20">
        <v>0.0</v>
      </c>
      <c r="O143" s="20">
        <v>0.0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18">
        <v>46053.701382025465</v>
      </c>
      <c r="B144" s="19">
        <v>219.0</v>
      </c>
      <c r="C144" s="19" t="s">
        <v>55</v>
      </c>
      <c r="D144" s="19" t="s">
        <v>13</v>
      </c>
      <c r="E144" s="19">
        <v>-2100.0</v>
      </c>
      <c r="F144" s="20">
        <v>4.0</v>
      </c>
      <c r="G144" s="20">
        <v>-52.1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20">
        <v>0.0</v>
      </c>
      <c r="O144" s="20">
        <v>0.0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18">
        <v>46053.701382025465</v>
      </c>
      <c r="B145" s="19">
        <v>219.0</v>
      </c>
      <c r="C145" s="19" t="s">
        <v>56</v>
      </c>
      <c r="D145" s="19" t="s">
        <v>14</v>
      </c>
      <c r="E145" s="19">
        <v>60100.0</v>
      </c>
      <c r="F145" s="20">
        <v>1.0</v>
      </c>
      <c r="G145" s="20">
        <v>70.1</v>
      </c>
      <c r="I145" s="6">
        <v>1.0</v>
      </c>
      <c r="J145" s="6">
        <v>0.0</v>
      </c>
      <c r="K145" s="6">
        <v>0.0</v>
      </c>
      <c r="L145" s="6">
        <v>0.0</v>
      </c>
      <c r="M145" s="6">
        <v>0.0</v>
      </c>
      <c r="N145" s="20">
        <v>0.0</v>
      </c>
      <c r="O145" s="20">
        <v>0.0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18">
        <v>46053.69975796297</v>
      </c>
      <c r="B146" s="19">
        <v>218.0</v>
      </c>
      <c r="C146" s="19" t="s">
        <v>53</v>
      </c>
      <c r="D146" s="19" t="s">
        <v>6</v>
      </c>
      <c r="E146" s="19">
        <v>48900.0</v>
      </c>
      <c r="F146" s="20">
        <v>1.0</v>
      </c>
      <c r="G146" s="20">
        <v>58.9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20">
        <v>0.0</v>
      </c>
      <c r="O146" s="20">
        <v>0.0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18">
        <v>46053.69975796297</v>
      </c>
      <c r="B147" s="19">
        <v>218.0</v>
      </c>
      <c r="C147" s="19" t="s">
        <v>54</v>
      </c>
      <c r="D147" s="19" t="s">
        <v>7</v>
      </c>
      <c r="E147" s="19">
        <v>8700.0</v>
      </c>
      <c r="F147" s="20">
        <v>4.0</v>
      </c>
      <c r="G147" s="20">
        <v>-41.3</v>
      </c>
      <c r="I147" s="6">
        <v>1.0</v>
      </c>
      <c r="J147" s="6">
        <v>0.0</v>
      </c>
      <c r="K147" s="6">
        <v>0.0</v>
      </c>
      <c r="L147" s="6">
        <v>0.0</v>
      </c>
      <c r="M147" s="6">
        <v>0.0</v>
      </c>
      <c r="N147" s="20">
        <v>0.0</v>
      </c>
      <c r="O147" s="20">
        <v>0.0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18">
        <v>46053.69975796297</v>
      </c>
      <c r="B148" s="19">
        <v>218.0</v>
      </c>
      <c r="C148" s="19" t="s">
        <v>55</v>
      </c>
      <c r="D148" s="19" t="s">
        <v>31</v>
      </c>
      <c r="E148" s="19">
        <v>24600.0</v>
      </c>
      <c r="F148" s="20">
        <v>2.0</v>
      </c>
      <c r="G148" s="20">
        <v>4.6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20">
        <v>0.0</v>
      </c>
      <c r="O148" s="20">
        <v>0.0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18">
        <v>46053.69975796297</v>
      </c>
      <c r="B149" s="19">
        <v>218.0</v>
      </c>
      <c r="C149" s="19" t="s">
        <v>56</v>
      </c>
      <c r="D149" s="19" t="s">
        <v>9</v>
      </c>
      <c r="E149" s="19">
        <v>17800.0</v>
      </c>
      <c r="F149" s="20">
        <v>3.0</v>
      </c>
      <c r="G149" s="20">
        <v>-22.2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20">
        <v>0.0</v>
      </c>
      <c r="O149" s="20">
        <v>0.0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2.75" customHeight="1">
      <c r="A150" s="18"/>
      <c r="B150" s="19"/>
      <c r="C150" s="19"/>
      <c r="D150" s="19"/>
      <c r="E150" s="19"/>
      <c r="F150" s="20"/>
      <c r="G150" s="20"/>
      <c r="I150" s="6"/>
      <c r="J150" s="6"/>
      <c r="K150" s="6"/>
      <c r="L150" s="6"/>
      <c r="M150" s="6"/>
      <c r="N150" s="20"/>
      <c r="O150" s="20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18"/>
      <c r="B151" s="19"/>
      <c r="C151" s="19"/>
      <c r="D151" s="19"/>
      <c r="E151" s="19"/>
      <c r="F151" s="20"/>
      <c r="G151" s="20"/>
      <c r="I151" s="6"/>
      <c r="J151" s="6"/>
      <c r="K151" s="6"/>
      <c r="L151" s="6"/>
      <c r="M151" s="6"/>
      <c r="N151" s="20"/>
      <c r="O151" s="20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18"/>
      <c r="B152" s="19"/>
      <c r="C152" s="19"/>
      <c r="D152" s="19"/>
      <c r="E152" s="19"/>
      <c r="F152" s="20"/>
      <c r="G152" s="20"/>
      <c r="I152" s="6"/>
      <c r="J152" s="6"/>
      <c r="K152" s="6"/>
      <c r="L152" s="6"/>
      <c r="M152" s="6"/>
      <c r="N152" s="20"/>
      <c r="O152" s="20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18"/>
      <c r="B153" s="19"/>
      <c r="C153" s="19"/>
      <c r="D153" s="19"/>
      <c r="E153" s="19"/>
      <c r="F153" s="20"/>
      <c r="G153" s="20"/>
      <c r="I153" s="6"/>
      <c r="J153" s="6"/>
      <c r="K153" s="6"/>
      <c r="L153" s="6"/>
      <c r="M153" s="6"/>
      <c r="N153" s="20"/>
      <c r="O153" s="20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18">
        <v>46053.668124097225</v>
      </c>
      <c r="B154" s="19">
        <v>217.0</v>
      </c>
      <c r="C154" s="19" t="s">
        <v>53</v>
      </c>
      <c r="D154" s="19" t="s">
        <v>15</v>
      </c>
      <c r="E154" s="19">
        <v>25000.0</v>
      </c>
      <c r="F154" s="20">
        <v>3.0</v>
      </c>
      <c r="G154" s="20">
        <v>-15.0</v>
      </c>
      <c r="I154" s="6">
        <v>1.0</v>
      </c>
      <c r="J154" s="6">
        <v>0.0</v>
      </c>
      <c r="K154" s="6">
        <v>0.0</v>
      </c>
      <c r="L154" s="6">
        <v>0.0</v>
      </c>
      <c r="M154" s="6">
        <v>0.0</v>
      </c>
      <c r="N154" s="20">
        <v>0.0</v>
      </c>
      <c r="O154" s="20">
        <v>0.0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18">
        <v>46053.668124097225</v>
      </c>
      <c r="B155" s="19">
        <v>217.0</v>
      </c>
      <c r="C155" s="19" t="s">
        <v>54</v>
      </c>
      <c r="D155" s="19" t="s">
        <v>24</v>
      </c>
      <c r="E155" s="19">
        <v>30900.0</v>
      </c>
      <c r="F155" s="20">
        <v>1.0</v>
      </c>
      <c r="G155" s="20">
        <v>40.9</v>
      </c>
      <c r="I155" s="6">
        <v>0.0</v>
      </c>
      <c r="J155" s="6">
        <v>1.0</v>
      </c>
      <c r="K155" s="6">
        <v>0.0</v>
      </c>
      <c r="L155" s="6">
        <v>0.0</v>
      </c>
      <c r="M155" s="6">
        <v>0.0</v>
      </c>
      <c r="N155" s="20">
        <v>0.0</v>
      </c>
      <c r="O155" s="20">
        <v>0.0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18">
        <v>46053.668124097225</v>
      </c>
      <c r="B156" s="19">
        <v>217.0</v>
      </c>
      <c r="C156" s="19" t="s">
        <v>55</v>
      </c>
      <c r="D156" s="19" t="s">
        <v>13</v>
      </c>
      <c r="E156" s="19">
        <v>26500.0</v>
      </c>
      <c r="F156" s="20">
        <v>2.0</v>
      </c>
      <c r="G156" s="20">
        <v>6.5</v>
      </c>
      <c r="I156" s="6">
        <v>1.0</v>
      </c>
      <c r="J156" s="6">
        <v>0.0</v>
      </c>
      <c r="K156" s="6">
        <v>0.0</v>
      </c>
      <c r="L156" s="6">
        <v>0.0</v>
      </c>
      <c r="M156" s="6">
        <v>0.0</v>
      </c>
      <c r="N156" s="20">
        <v>0.0</v>
      </c>
      <c r="O156" s="20">
        <v>0.0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18">
        <v>46053.668124097225</v>
      </c>
      <c r="B157" s="19">
        <v>217.0</v>
      </c>
      <c r="C157" s="19" t="s">
        <v>56</v>
      </c>
      <c r="D157" s="19" t="s">
        <v>9</v>
      </c>
      <c r="E157" s="19">
        <v>17600.0</v>
      </c>
      <c r="F157" s="20">
        <v>4.0</v>
      </c>
      <c r="G157" s="20">
        <v>-32.4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20">
        <v>0.0</v>
      </c>
      <c r="O157" s="20">
        <v>0.0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18">
        <v>46053.66484388889</v>
      </c>
      <c r="B158" s="19">
        <v>216.0</v>
      </c>
      <c r="C158" s="19" t="s">
        <v>53</v>
      </c>
      <c r="D158" s="19" t="s">
        <v>14</v>
      </c>
      <c r="E158" s="19">
        <v>41700.0</v>
      </c>
      <c r="F158" s="20">
        <v>1.0</v>
      </c>
      <c r="G158" s="20">
        <v>51.7</v>
      </c>
      <c r="I158" s="6">
        <v>1.0</v>
      </c>
      <c r="J158" s="6">
        <v>0.0</v>
      </c>
      <c r="K158" s="6">
        <v>0.0</v>
      </c>
      <c r="L158" s="6">
        <v>0.0</v>
      </c>
      <c r="M158" s="6">
        <v>0.0</v>
      </c>
      <c r="N158" s="20">
        <v>0.0</v>
      </c>
      <c r="O158" s="20">
        <v>0.0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18">
        <v>46053.66484388889</v>
      </c>
      <c r="B159" s="19">
        <v>216.0</v>
      </c>
      <c r="C159" s="19" t="s">
        <v>54</v>
      </c>
      <c r="D159" s="19" t="s">
        <v>31</v>
      </c>
      <c r="E159" s="19">
        <v>4200.0</v>
      </c>
      <c r="F159" s="20">
        <v>4.0</v>
      </c>
      <c r="G159" s="20">
        <v>-45.8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20">
        <v>0.0</v>
      </c>
      <c r="O159" s="20">
        <v>0.0</v>
      </c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18">
        <v>46053.66484388889</v>
      </c>
      <c r="B160" s="19">
        <v>216.0</v>
      </c>
      <c r="C160" s="19" t="s">
        <v>55</v>
      </c>
      <c r="D160" s="19" t="s">
        <v>7</v>
      </c>
      <c r="E160" s="19">
        <v>27000.0</v>
      </c>
      <c r="F160" s="20">
        <v>3.0</v>
      </c>
      <c r="G160" s="20">
        <v>-13.0</v>
      </c>
      <c r="I160" s="6">
        <v>1.0</v>
      </c>
      <c r="J160" s="6">
        <v>0.0</v>
      </c>
      <c r="K160" s="6">
        <v>0.0</v>
      </c>
      <c r="L160" s="6">
        <v>0.0</v>
      </c>
      <c r="M160" s="6">
        <v>0.0</v>
      </c>
      <c r="N160" s="20">
        <v>0.0</v>
      </c>
      <c r="O160" s="20">
        <v>0.0</v>
      </c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18">
        <v>46053.66484388889</v>
      </c>
      <c r="B161" s="19">
        <v>216.0</v>
      </c>
      <c r="C161" s="19" t="s">
        <v>56</v>
      </c>
      <c r="D161" s="19" t="s">
        <v>6</v>
      </c>
      <c r="E161" s="19">
        <v>27100.0</v>
      </c>
      <c r="F161" s="20">
        <v>2.0</v>
      </c>
      <c r="G161" s="20">
        <v>7.1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20">
        <v>0.0</v>
      </c>
      <c r="O161" s="20">
        <v>0.0</v>
      </c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18">
        <v>46053.62304684028</v>
      </c>
      <c r="B162" s="19">
        <v>215.0</v>
      </c>
      <c r="C162" s="19" t="s">
        <v>53</v>
      </c>
      <c r="D162" s="19" t="s">
        <v>14</v>
      </c>
      <c r="E162" s="19">
        <v>40100.0</v>
      </c>
      <c r="F162" s="20">
        <v>1.0</v>
      </c>
      <c r="G162" s="20">
        <v>50.1</v>
      </c>
      <c r="I162" s="6">
        <v>1.0</v>
      </c>
      <c r="J162" s="6">
        <v>0.0</v>
      </c>
      <c r="K162" s="6">
        <v>0.0</v>
      </c>
      <c r="L162" s="6">
        <v>0.0</v>
      </c>
      <c r="M162" s="6">
        <v>0.0</v>
      </c>
      <c r="N162" s="20">
        <v>0.0</v>
      </c>
      <c r="O162" s="20">
        <v>0.0</v>
      </c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18">
        <v>46053.62304684028</v>
      </c>
      <c r="B163" s="19">
        <v>215.0</v>
      </c>
      <c r="C163" s="19" t="s">
        <v>54</v>
      </c>
      <c r="D163" s="19" t="s">
        <v>31</v>
      </c>
      <c r="E163" s="19">
        <v>13500.0</v>
      </c>
      <c r="F163" s="20">
        <v>4.0</v>
      </c>
      <c r="G163" s="20">
        <v>-36.5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20">
        <v>0.0</v>
      </c>
      <c r="O163" s="20">
        <v>0.0</v>
      </c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18">
        <v>46053.62304684028</v>
      </c>
      <c r="B164" s="19">
        <v>215.0</v>
      </c>
      <c r="C164" s="19" t="s">
        <v>55</v>
      </c>
      <c r="D164" s="19" t="s">
        <v>6</v>
      </c>
      <c r="E164" s="19">
        <v>25400.0</v>
      </c>
      <c r="F164" s="20">
        <v>2.0</v>
      </c>
      <c r="G164" s="20">
        <v>5.4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20">
        <v>0.0</v>
      </c>
      <c r="O164" s="20">
        <v>0.0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18">
        <v>46053.62304684028</v>
      </c>
      <c r="B165" s="19">
        <v>215.0</v>
      </c>
      <c r="C165" s="19" t="s">
        <v>56</v>
      </c>
      <c r="D165" s="19" t="s">
        <v>15</v>
      </c>
      <c r="E165" s="19">
        <v>21000.0</v>
      </c>
      <c r="F165" s="20">
        <v>3.0</v>
      </c>
      <c r="G165" s="20">
        <v>-19.0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20">
        <v>0.0</v>
      </c>
      <c r="O165" s="20">
        <v>0.0</v>
      </c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18">
        <v>46053.6214009838</v>
      </c>
      <c r="B166" s="19">
        <v>214.0</v>
      </c>
      <c r="C166" s="19" t="s">
        <v>53</v>
      </c>
      <c r="D166" s="19" t="s">
        <v>9</v>
      </c>
      <c r="E166" s="19">
        <v>53900.0</v>
      </c>
      <c r="F166" s="20">
        <v>1.0</v>
      </c>
      <c r="G166" s="20">
        <v>63.9</v>
      </c>
      <c r="I166" s="6">
        <v>0.0</v>
      </c>
      <c r="J166" s="6">
        <v>1.0</v>
      </c>
      <c r="K166" s="6">
        <v>0.0</v>
      </c>
      <c r="L166" s="6">
        <v>0.0</v>
      </c>
      <c r="M166" s="6">
        <v>0.0</v>
      </c>
      <c r="N166" s="20">
        <v>0.0</v>
      </c>
      <c r="O166" s="20">
        <v>0.0</v>
      </c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18">
        <v>46053.6214009838</v>
      </c>
      <c r="B167" s="19">
        <v>214.0</v>
      </c>
      <c r="C167" s="19" t="s">
        <v>54</v>
      </c>
      <c r="D167" s="19" t="s">
        <v>24</v>
      </c>
      <c r="E167" s="19">
        <v>15800.0</v>
      </c>
      <c r="F167" s="20">
        <v>3.0</v>
      </c>
      <c r="G167" s="20">
        <v>-24.2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20">
        <v>0.0</v>
      </c>
      <c r="O167" s="20">
        <v>0.0</v>
      </c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18">
        <v>46053.6214009838</v>
      </c>
      <c r="B168" s="19">
        <v>214.0</v>
      </c>
      <c r="C168" s="19" t="s">
        <v>55</v>
      </c>
      <c r="D168" s="19" t="s">
        <v>7</v>
      </c>
      <c r="E168" s="19">
        <v>31000.0</v>
      </c>
      <c r="F168" s="20">
        <v>2.0</v>
      </c>
      <c r="G168" s="20">
        <v>11.0</v>
      </c>
      <c r="I168" s="6">
        <v>0.0</v>
      </c>
      <c r="J168" s="6">
        <v>1.0</v>
      </c>
      <c r="K168" s="6">
        <v>0.0</v>
      </c>
      <c r="L168" s="6">
        <v>0.0</v>
      </c>
      <c r="M168" s="6">
        <v>0.0</v>
      </c>
      <c r="N168" s="20">
        <v>0.0</v>
      </c>
      <c r="O168" s="20">
        <v>0.0</v>
      </c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18">
        <v>46053.6214009838</v>
      </c>
      <c r="B169" s="19">
        <v>214.0</v>
      </c>
      <c r="C169" s="19" t="s">
        <v>56</v>
      </c>
      <c r="D169" s="19" t="s">
        <v>13</v>
      </c>
      <c r="E169" s="19">
        <v>-700.0</v>
      </c>
      <c r="F169" s="20">
        <v>4.0</v>
      </c>
      <c r="G169" s="20">
        <v>-50.7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20">
        <v>0.0</v>
      </c>
      <c r="O169" s="20">
        <v>0.0</v>
      </c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18"/>
      <c r="B170" s="19"/>
      <c r="C170" s="19"/>
      <c r="D170" s="19"/>
      <c r="E170" s="19"/>
      <c r="F170" s="20"/>
      <c r="G170" s="20"/>
      <c r="I170" s="6"/>
      <c r="J170" s="6"/>
      <c r="K170" s="6"/>
      <c r="L170" s="6"/>
      <c r="M170" s="6"/>
      <c r="N170" s="20"/>
      <c r="O170" s="20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18"/>
      <c r="B171" s="19"/>
      <c r="C171" s="19"/>
      <c r="D171" s="19"/>
      <c r="E171" s="19"/>
      <c r="F171" s="20"/>
      <c r="G171" s="20"/>
      <c r="I171" s="6"/>
      <c r="J171" s="6"/>
      <c r="K171" s="6"/>
      <c r="L171" s="6"/>
      <c r="M171" s="6"/>
      <c r="N171" s="20"/>
      <c r="O171" s="20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18"/>
      <c r="B172" s="19"/>
      <c r="C172" s="19"/>
      <c r="D172" s="19"/>
      <c r="E172" s="19"/>
      <c r="F172" s="20"/>
      <c r="G172" s="20"/>
      <c r="I172" s="6"/>
      <c r="J172" s="6"/>
      <c r="K172" s="6"/>
      <c r="L172" s="6"/>
      <c r="M172" s="6"/>
      <c r="N172" s="20"/>
      <c r="O172" s="20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18"/>
      <c r="B173" s="19"/>
      <c r="C173" s="19"/>
      <c r="D173" s="19"/>
      <c r="E173" s="19"/>
      <c r="F173" s="20"/>
      <c r="G173" s="20"/>
      <c r="I173" s="6"/>
      <c r="J173" s="6"/>
      <c r="K173" s="6"/>
      <c r="L173" s="6"/>
      <c r="M173" s="6"/>
      <c r="N173" s="20"/>
      <c r="O173" s="20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18">
        <v>46053.57800086806</v>
      </c>
      <c r="B174" s="19">
        <v>213.0</v>
      </c>
      <c r="C174" s="19" t="s">
        <v>53</v>
      </c>
      <c r="D174" s="19" t="s">
        <v>6</v>
      </c>
      <c r="E174" s="19">
        <v>30500.0</v>
      </c>
      <c r="F174" s="20">
        <v>2.0</v>
      </c>
      <c r="G174" s="20">
        <v>10.5</v>
      </c>
      <c r="I174" s="6">
        <v>1.0</v>
      </c>
      <c r="J174" s="6">
        <v>0.0</v>
      </c>
      <c r="K174" s="6">
        <v>0.0</v>
      </c>
      <c r="L174" s="6">
        <v>0.0</v>
      </c>
      <c r="M174" s="6">
        <v>0.0</v>
      </c>
      <c r="N174" s="20">
        <v>0.0</v>
      </c>
      <c r="O174" s="20">
        <v>0.0</v>
      </c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18">
        <v>46053.57800086806</v>
      </c>
      <c r="B175" s="19">
        <v>213.0</v>
      </c>
      <c r="C175" s="19" t="s">
        <v>54</v>
      </c>
      <c r="D175" s="19" t="s">
        <v>9</v>
      </c>
      <c r="E175" s="19">
        <v>8100.0</v>
      </c>
      <c r="F175" s="20">
        <v>4.0</v>
      </c>
      <c r="G175" s="20">
        <v>-41.9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20">
        <v>0.0</v>
      </c>
      <c r="O175" s="20">
        <v>0.0</v>
      </c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18">
        <v>46053.57800086806</v>
      </c>
      <c r="B176" s="19">
        <v>213.0</v>
      </c>
      <c r="C176" s="19" t="s">
        <v>55</v>
      </c>
      <c r="D176" s="19" t="s">
        <v>31</v>
      </c>
      <c r="E176" s="19">
        <v>29000.0</v>
      </c>
      <c r="F176" s="20">
        <v>3.0</v>
      </c>
      <c r="G176" s="20">
        <v>-11.0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20">
        <v>0.0</v>
      </c>
      <c r="O176" s="20">
        <v>0.0</v>
      </c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18">
        <v>46053.57800086806</v>
      </c>
      <c r="B177" s="19">
        <v>213.0</v>
      </c>
      <c r="C177" s="19" t="s">
        <v>56</v>
      </c>
      <c r="D177" s="19" t="s">
        <v>15</v>
      </c>
      <c r="E177" s="19">
        <v>32400.0</v>
      </c>
      <c r="F177" s="20">
        <v>1.0</v>
      </c>
      <c r="G177" s="20">
        <v>42.4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20">
        <v>0.0</v>
      </c>
      <c r="O177" s="20">
        <v>0.0</v>
      </c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18">
        <v>46053.5394177662</v>
      </c>
      <c r="B178" s="19">
        <v>212.0</v>
      </c>
      <c r="C178" s="19" t="s">
        <v>53</v>
      </c>
      <c r="D178" s="19" t="s">
        <v>6</v>
      </c>
      <c r="E178" s="19">
        <v>40500.0</v>
      </c>
      <c r="F178" s="20">
        <v>2.0</v>
      </c>
      <c r="G178" s="20">
        <v>20.5</v>
      </c>
      <c r="I178" s="6">
        <v>0.0</v>
      </c>
      <c r="J178" s="6">
        <v>0.0</v>
      </c>
      <c r="K178" s="6">
        <v>1.0</v>
      </c>
      <c r="L178" s="6">
        <v>0.0</v>
      </c>
      <c r="M178" s="6">
        <v>0.0</v>
      </c>
      <c r="N178" s="20">
        <v>0.0</v>
      </c>
      <c r="O178" s="20">
        <v>0.0</v>
      </c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18">
        <v>46053.5394177662</v>
      </c>
      <c r="B179" s="19">
        <v>212.0</v>
      </c>
      <c r="C179" s="19" t="s">
        <v>54</v>
      </c>
      <c r="D179" s="19" t="s">
        <v>15</v>
      </c>
      <c r="E179" s="19">
        <v>53100.0</v>
      </c>
      <c r="F179" s="20">
        <v>1.0</v>
      </c>
      <c r="G179" s="20">
        <v>63.1</v>
      </c>
      <c r="I179" s="6">
        <v>0.0</v>
      </c>
      <c r="J179" s="6">
        <v>1.0</v>
      </c>
      <c r="K179" s="6">
        <v>0.0</v>
      </c>
      <c r="L179" s="6">
        <v>0.0</v>
      </c>
      <c r="M179" s="6">
        <v>0.0</v>
      </c>
      <c r="N179" s="20">
        <v>0.0</v>
      </c>
      <c r="O179" s="20">
        <v>0.0</v>
      </c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18">
        <v>46053.5394177662</v>
      </c>
      <c r="B180" s="19">
        <v>212.0</v>
      </c>
      <c r="C180" s="19" t="s">
        <v>55</v>
      </c>
      <c r="D180" s="19" t="s">
        <v>31</v>
      </c>
      <c r="E180" s="19">
        <v>6700.0</v>
      </c>
      <c r="F180" s="20">
        <v>3.0</v>
      </c>
      <c r="G180" s="20">
        <v>-33.3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20">
        <v>0.0</v>
      </c>
      <c r="O180" s="20">
        <v>0.0</v>
      </c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18">
        <v>46053.5394177662</v>
      </c>
      <c r="B181" s="19">
        <v>212.0</v>
      </c>
      <c r="C181" s="19" t="s">
        <v>56</v>
      </c>
      <c r="D181" s="19" t="s">
        <v>9</v>
      </c>
      <c r="E181" s="19">
        <v>-300.0</v>
      </c>
      <c r="F181" s="20">
        <v>4.0</v>
      </c>
      <c r="G181" s="20">
        <v>-50.3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20">
        <v>0.0</v>
      </c>
      <c r="O181" s="20">
        <v>0.0</v>
      </c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18">
        <v>46039.967412638885</v>
      </c>
      <c r="B182" s="19">
        <v>211.0</v>
      </c>
      <c r="C182" s="19" t="s">
        <v>53</v>
      </c>
      <c r="D182" s="19" t="s">
        <v>7</v>
      </c>
      <c r="E182" s="19">
        <v>14500.0</v>
      </c>
      <c r="F182" s="20">
        <v>4.0</v>
      </c>
      <c r="G182" s="20">
        <v>-35.5</v>
      </c>
      <c r="I182" s="6">
        <v>1.0</v>
      </c>
      <c r="J182" s="6">
        <v>0.0</v>
      </c>
      <c r="K182" s="6">
        <v>0.0</v>
      </c>
      <c r="L182" s="6">
        <v>0.0</v>
      </c>
      <c r="M182" s="6">
        <v>0.0</v>
      </c>
      <c r="N182" s="20">
        <v>0.0</v>
      </c>
      <c r="O182" s="20">
        <v>0.0</v>
      </c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18">
        <v>46039.967412638885</v>
      </c>
      <c r="B183" s="19">
        <v>211.0</v>
      </c>
      <c r="C183" s="19" t="s">
        <v>54</v>
      </c>
      <c r="D183" s="19" t="s">
        <v>36</v>
      </c>
      <c r="E183" s="19">
        <v>23500.0</v>
      </c>
      <c r="F183" s="20">
        <v>3.0</v>
      </c>
      <c r="G183" s="20">
        <v>-16.5</v>
      </c>
      <c r="I183" s="6">
        <v>2.0</v>
      </c>
      <c r="J183" s="6">
        <v>0.0</v>
      </c>
      <c r="K183" s="6">
        <v>0.0</v>
      </c>
      <c r="L183" s="6">
        <v>0.0</v>
      </c>
      <c r="M183" s="6">
        <v>0.0</v>
      </c>
      <c r="N183" s="20">
        <v>0.0</v>
      </c>
      <c r="O183" s="20">
        <v>0.0</v>
      </c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18">
        <v>46039.967412638885</v>
      </c>
      <c r="B184" s="19">
        <v>211.0</v>
      </c>
      <c r="C184" s="19" t="s">
        <v>55</v>
      </c>
      <c r="D184" s="19" t="s">
        <v>5</v>
      </c>
      <c r="E184" s="19">
        <v>35400.0</v>
      </c>
      <c r="F184" s="20">
        <v>1.0</v>
      </c>
      <c r="G184" s="20">
        <v>45.4</v>
      </c>
      <c r="I184" s="6">
        <v>0.0</v>
      </c>
      <c r="J184" s="6">
        <v>1.0</v>
      </c>
      <c r="K184" s="6">
        <v>0.0</v>
      </c>
      <c r="L184" s="6">
        <v>0.0</v>
      </c>
      <c r="M184" s="6">
        <v>0.0</v>
      </c>
      <c r="N184" s="20">
        <v>0.0</v>
      </c>
      <c r="O184" s="20">
        <v>0.0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18">
        <v>46039.967412638885</v>
      </c>
      <c r="B185" s="19">
        <v>211.0</v>
      </c>
      <c r="C185" s="19" t="s">
        <v>56</v>
      </c>
      <c r="D185" s="19" t="s">
        <v>15</v>
      </c>
      <c r="E185" s="19">
        <v>26600.0</v>
      </c>
      <c r="F185" s="20">
        <v>2.0</v>
      </c>
      <c r="G185" s="20">
        <v>6.6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20">
        <v>0.0</v>
      </c>
      <c r="O185" s="20">
        <v>0.0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18">
        <v>46039.95630909722</v>
      </c>
      <c r="B186" s="19">
        <v>210.0</v>
      </c>
      <c r="C186" s="19" t="s">
        <v>53</v>
      </c>
      <c r="D186" s="19" t="s">
        <v>17</v>
      </c>
      <c r="E186" s="19">
        <v>10400.0</v>
      </c>
      <c r="F186" s="20">
        <v>4.0</v>
      </c>
      <c r="G186" s="20">
        <v>-39.6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20">
        <v>0.0</v>
      </c>
      <c r="O186" s="20">
        <v>0.0</v>
      </c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18">
        <v>46039.95630909722</v>
      </c>
      <c r="B187" s="19">
        <v>210.0</v>
      </c>
      <c r="C187" s="19" t="s">
        <v>54</v>
      </c>
      <c r="D187" s="19" t="s">
        <v>24</v>
      </c>
      <c r="E187" s="19">
        <v>31000.0</v>
      </c>
      <c r="F187" s="20">
        <v>1.0</v>
      </c>
      <c r="G187" s="20">
        <v>41.0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20">
        <v>0.0</v>
      </c>
      <c r="O187" s="20">
        <v>0.0</v>
      </c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18">
        <v>46039.95630909722</v>
      </c>
      <c r="B188" s="19">
        <v>210.0</v>
      </c>
      <c r="C188" s="19" t="s">
        <v>55</v>
      </c>
      <c r="D188" s="19" t="s">
        <v>8</v>
      </c>
      <c r="E188" s="19">
        <v>27900.0</v>
      </c>
      <c r="F188" s="20">
        <v>3.0</v>
      </c>
      <c r="G188" s="20">
        <v>-12.1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20">
        <v>0.0</v>
      </c>
      <c r="O188" s="20">
        <v>0.0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18">
        <v>46039.95630909722</v>
      </c>
      <c r="B189" s="19">
        <v>210.0</v>
      </c>
      <c r="C189" s="19" t="s">
        <v>56</v>
      </c>
      <c r="D189" s="19" t="s">
        <v>6</v>
      </c>
      <c r="E189" s="19">
        <v>30700.0</v>
      </c>
      <c r="F189" s="20">
        <v>2.0</v>
      </c>
      <c r="G189" s="20">
        <v>10.7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20">
        <v>0.0</v>
      </c>
      <c r="O189" s="20">
        <v>0.0</v>
      </c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18">
        <v>46039.89690241899</v>
      </c>
      <c r="B190" s="19">
        <v>209.0</v>
      </c>
      <c r="C190" s="19" t="s">
        <v>53</v>
      </c>
      <c r="D190" s="19" t="s">
        <v>15</v>
      </c>
      <c r="E190" s="19">
        <v>15000.0</v>
      </c>
      <c r="F190" s="20">
        <v>3.0</v>
      </c>
      <c r="G190" s="20">
        <v>-25.0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20">
        <v>0.0</v>
      </c>
      <c r="O190" s="20">
        <v>0.0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18">
        <v>46039.89690241899</v>
      </c>
      <c r="B191" s="19">
        <v>209.0</v>
      </c>
      <c r="C191" s="19" t="s">
        <v>54</v>
      </c>
      <c r="D191" s="19" t="s">
        <v>7</v>
      </c>
      <c r="E191" s="19">
        <v>45100.0</v>
      </c>
      <c r="F191" s="20">
        <v>1.0</v>
      </c>
      <c r="G191" s="20">
        <v>55.1</v>
      </c>
      <c r="I191" s="6">
        <v>1.0</v>
      </c>
      <c r="J191" s="6">
        <v>0.0</v>
      </c>
      <c r="K191" s="6">
        <v>0.0</v>
      </c>
      <c r="L191" s="6">
        <v>0.0</v>
      </c>
      <c r="M191" s="6">
        <v>0.0</v>
      </c>
      <c r="N191" s="20">
        <v>0.0</v>
      </c>
      <c r="O191" s="20">
        <v>0.0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18">
        <v>46039.89690241899</v>
      </c>
      <c r="B192" s="19">
        <v>209.0</v>
      </c>
      <c r="C192" s="19" t="s">
        <v>55</v>
      </c>
      <c r="D192" s="19" t="s">
        <v>24</v>
      </c>
      <c r="E192" s="19">
        <v>34500.0</v>
      </c>
      <c r="F192" s="20">
        <v>2.0</v>
      </c>
      <c r="G192" s="20">
        <v>14.5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20">
        <v>0.0</v>
      </c>
      <c r="O192" s="20">
        <v>0.0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18">
        <v>46039.89690241899</v>
      </c>
      <c r="B193" s="19">
        <v>209.0</v>
      </c>
      <c r="C193" s="19" t="s">
        <v>56</v>
      </c>
      <c r="D193" s="19" t="s">
        <v>17</v>
      </c>
      <c r="E193" s="19">
        <v>5400.0</v>
      </c>
      <c r="F193" s="20">
        <v>4.0</v>
      </c>
      <c r="G193" s="20">
        <v>-44.6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20">
        <v>0.0</v>
      </c>
      <c r="O193" s="20">
        <v>0.0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18">
        <v>46039.89414394676</v>
      </c>
      <c r="B194" s="19">
        <v>208.0</v>
      </c>
      <c r="C194" s="19" t="s">
        <v>53</v>
      </c>
      <c r="D194" s="19" t="s">
        <v>6</v>
      </c>
      <c r="E194" s="19">
        <v>19600.0</v>
      </c>
      <c r="F194" s="20">
        <v>3.0</v>
      </c>
      <c r="G194" s="20">
        <v>-20.4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20">
        <v>0.0</v>
      </c>
      <c r="O194" s="20">
        <v>0.0</v>
      </c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18">
        <v>46039.89414394676</v>
      </c>
      <c r="B195" s="19">
        <v>208.0</v>
      </c>
      <c r="C195" s="19" t="s">
        <v>54</v>
      </c>
      <c r="D195" s="19" t="s">
        <v>5</v>
      </c>
      <c r="E195" s="19">
        <v>52000.0</v>
      </c>
      <c r="F195" s="20">
        <v>1.0</v>
      </c>
      <c r="G195" s="20">
        <v>62.0</v>
      </c>
      <c r="I195" s="6">
        <v>0.0</v>
      </c>
      <c r="J195" s="6">
        <v>1.0</v>
      </c>
      <c r="K195" s="6">
        <v>0.0</v>
      </c>
      <c r="L195" s="6">
        <v>0.0</v>
      </c>
      <c r="M195" s="6">
        <v>0.0</v>
      </c>
      <c r="N195" s="20">
        <v>0.0</v>
      </c>
      <c r="O195" s="20">
        <v>0.0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18">
        <v>46039.89414394676</v>
      </c>
      <c r="B196" s="19">
        <v>208.0</v>
      </c>
      <c r="C196" s="19" t="s">
        <v>55</v>
      </c>
      <c r="D196" s="19" t="s">
        <v>36</v>
      </c>
      <c r="E196" s="19">
        <v>31500.0</v>
      </c>
      <c r="F196" s="20">
        <v>2.0</v>
      </c>
      <c r="G196" s="20">
        <v>11.5</v>
      </c>
      <c r="I196" s="6">
        <v>1.0</v>
      </c>
      <c r="J196" s="6">
        <v>0.0</v>
      </c>
      <c r="K196" s="6">
        <v>0.0</v>
      </c>
      <c r="L196" s="6">
        <v>0.0</v>
      </c>
      <c r="M196" s="6">
        <v>0.0</v>
      </c>
      <c r="N196" s="20">
        <v>0.0</v>
      </c>
      <c r="O196" s="20">
        <v>0.0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18">
        <v>46039.89414394676</v>
      </c>
      <c r="B197" s="19">
        <v>208.0</v>
      </c>
      <c r="C197" s="19" t="s">
        <v>56</v>
      </c>
      <c r="D197" s="19" t="s">
        <v>8</v>
      </c>
      <c r="E197" s="19">
        <v>-3100.0</v>
      </c>
      <c r="F197" s="20">
        <v>4.0</v>
      </c>
      <c r="G197" s="20">
        <v>-53.1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20">
        <v>0.0</v>
      </c>
      <c r="O197" s="20">
        <v>0.0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18">
        <v>46039.79865222222</v>
      </c>
      <c r="B198" s="19">
        <v>207.0</v>
      </c>
      <c r="C198" s="19" t="s">
        <v>53</v>
      </c>
      <c r="D198" s="19" t="s">
        <v>5</v>
      </c>
      <c r="E198" s="19">
        <v>19700.0</v>
      </c>
      <c r="F198" s="20">
        <v>3.0</v>
      </c>
      <c r="G198" s="20">
        <v>-20.3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20">
        <v>0.0</v>
      </c>
      <c r="O198" s="20">
        <v>0.0</v>
      </c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18">
        <v>46039.79865222222</v>
      </c>
      <c r="B199" s="19">
        <v>207.0</v>
      </c>
      <c r="C199" s="19" t="s">
        <v>54</v>
      </c>
      <c r="D199" s="19" t="s">
        <v>17</v>
      </c>
      <c r="E199" s="19">
        <v>-10300.0</v>
      </c>
      <c r="F199" s="20">
        <v>4.0</v>
      </c>
      <c r="G199" s="20">
        <v>-60.3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20">
        <v>0.0</v>
      </c>
      <c r="O199" s="20">
        <v>0.0</v>
      </c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18">
        <v>46039.79865222222</v>
      </c>
      <c r="B200" s="19">
        <v>207.0</v>
      </c>
      <c r="C200" s="19" t="s">
        <v>55</v>
      </c>
      <c r="D200" s="19" t="s">
        <v>8</v>
      </c>
      <c r="E200" s="19">
        <v>60000.0</v>
      </c>
      <c r="F200" s="20">
        <v>1.0</v>
      </c>
      <c r="G200" s="20">
        <v>70.0</v>
      </c>
      <c r="I200" s="6">
        <v>0.0</v>
      </c>
      <c r="J200" s="6">
        <v>1.0</v>
      </c>
      <c r="K200" s="6">
        <v>0.0</v>
      </c>
      <c r="L200" s="6">
        <v>0.0</v>
      </c>
      <c r="M200" s="6">
        <v>0.0</v>
      </c>
      <c r="N200" s="20">
        <v>0.0</v>
      </c>
      <c r="O200" s="20">
        <v>0.0</v>
      </c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18">
        <v>46039.79865222222</v>
      </c>
      <c r="B201" s="19">
        <v>207.0</v>
      </c>
      <c r="C201" s="19" t="s">
        <v>56</v>
      </c>
      <c r="D201" s="19" t="s">
        <v>7</v>
      </c>
      <c r="E201" s="19">
        <v>30600.0</v>
      </c>
      <c r="F201" s="20">
        <v>2.0</v>
      </c>
      <c r="G201" s="20">
        <v>10.6</v>
      </c>
      <c r="I201" s="6">
        <v>0.0</v>
      </c>
      <c r="J201" s="6">
        <v>1.0</v>
      </c>
      <c r="K201" s="6">
        <v>0.0</v>
      </c>
      <c r="L201" s="6">
        <v>0.0</v>
      </c>
      <c r="M201" s="6">
        <v>0.0</v>
      </c>
      <c r="N201" s="20">
        <v>0.0</v>
      </c>
      <c r="O201" s="20">
        <v>0.0</v>
      </c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18">
        <v>46039.79614065972</v>
      </c>
      <c r="B202" s="19">
        <v>206.0</v>
      </c>
      <c r="C202" s="19" t="s">
        <v>53</v>
      </c>
      <c r="D202" s="19" t="s">
        <v>24</v>
      </c>
      <c r="E202" s="19">
        <v>27000.0</v>
      </c>
      <c r="F202" s="20">
        <v>2.0</v>
      </c>
      <c r="G202" s="20">
        <v>7.0</v>
      </c>
      <c r="I202" s="6">
        <v>0.0</v>
      </c>
      <c r="J202" s="6">
        <v>0.0</v>
      </c>
      <c r="K202" s="6">
        <v>1.0</v>
      </c>
      <c r="L202" s="6">
        <v>0.0</v>
      </c>
      <c r="M202" s="6">
        <v>0.0</v>
      </c>
      <c r="N202" s="20">
        <v>0.0</v>
      </c>
      <c r="O202" s="20">
        <v>0.0</v>
      </c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18">
        <v>46039.79614065972</v>
      </c>
      <c r="B203" s="19">
        <v>206.0</v>
      </c>
      <c r="C203" s="19" t="s">
        <v>54</v>
      </c>
      <c r="D203" s="19" t="s">
        <v>15</v>
      </c>
      <c r="E203" s="19">
        <v>-3000.0</v>
      </c>
      <c r="F203" s="20">
        <v>4.0</v>
      </c>
      <c r="G203" s="20">
        <v>-53.0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20">
        <v>0.0</v>
      </c>
      <c r="O203" s="20">
        <v>0.0</v>
      </c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18">
        <v>46039.79614065972</v>
      </c>
      <c r="B204" s="19">
        <v>206.0</v>
      </c>
      <c r="C204" s="19" t="s">
        <v>55</v>
      </c>
      <c r="D204" s="19" t="s">
        <v>6</v>
      </c>
      <c r="E204" s="19">
        <v>54500.0</v>
      </c>
      <c r="F204" s="20">
        <v>1.0</v>
      </c>
      <c r="G204" s="20">
        <v>64.5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20">
        <v>0.0</v>
      </c>
      <c r="O204" s="20">
        <v>0.0</v>
      </c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18">
        <v>46039.79614065972</v>
      </c>
      <c r="B205" s="19">
        <v>206.0</v>
      </c>
      <c r="C205" s="19" t="s">
        <v>56</v>
      </c>
      <c r="D205" s="19" t="s">
        <v>36</v>
      </c>
      <c r="E205" s="19">
        <v>21500.0</v>
      </c>
      <c r="F205" s="20">
        <v>3.0</v>
      </c>
      <c r="G205" s="20">
        <v>-18.5</v>
      </c>
      <c r="I205" s="6">
        <v>2.0</v>
      </c>
      <c r="J205" s="6">
        <v>0.0</v>
      </c>
      <c r="K205" s="6">
        <v>0.0</v>
      </c>
      <c r="L205" s="6">
        <v>0.0</v>
      </c>
      <c r="M205" s="6">
        <v>0.0</v>
      </c>
      <c r="N205" s="20">
        <v>0.0</v>
      </c>
      <c r="O205" s="20">
        <v>0.0</v>
      </c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18">
        <v>46039.73883325231</v>
      </c>
      <c r="B206" s="19">
        <v>205.0</v>
      </c>
      <c r="C206" s="19" t="s">
        <v>53</v>
      </c>
      <c r="D206" s="19" t="s">
        <v>8</v>
      </c>
      <c r="E206" s="19">
        <v>19400.0</v>
      </c>
      <c r="F206" s="20">
        <v>3.0</v>
      </c>
      <c r="G206" s="20">
        <v>-20.6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20">
        <v>0.0</v>
      </c>
      <c r="O206" s="20">
        <v>0.0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18">
        <v>46039.73883325231</v>
      </c>
      <c r="B207" s="19">
        <v>205.0</v>
      </c>
      <c r="C207" s="19" t="s">
        <v>54</v>
      </c>
      <c r="D207" s="19" t="s">
        <v>15</v>
      </c>
      <c r="E207" s="19">
        <v>44600.0</v>
      </c>
      <c r="F207" s="20">
        <v>1.0</v>
      </c>
      <c r="G207" s="20">
        <v>54.6</v>
      </c>
      <c r="I207" s="6">
        <v>1.0</v>
      </c>
      <c r="J207" s="6">
        <v>0.0</v>
      </c>
      <c r="K207" s="6">
        <v>0.0</v>
      </c>
      <c r="L207" s="6">
        <v>0.0</v>
      </c>
      <c r="M207" s="6">
        <v>0.0</v>
      </c>
      <c r="N207" s="20">
        <v>0.0</v>
      </c>
      <c r="O207" s="20">
        <v>0.0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18">
        <v>46039.73883325231</v>
      </c>
      <c r="B208" s="19">
        <v>205.0</v>
      </c>
      <c r="C208" s="19" t="s">
        <v>55</v>
      </c>
      <c r="D208" s="19" t="s">
        <v>5</v>
      </c>
      <c r="E208" s="19">
        <v>24600.0</v>
      </c>
      <c r="F208" s="20">
        <v>2.0</v>
      </c>
      <c r="G208" s="20">
        <v>4.6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20">
        <v>0.0</v>
      </c>
      <c r="O208" s="20">
        <v>0.0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18">
        <v>46039.73883325231</v>
      </c>
      <c r="B209" s="19">
        <v>205.0</v>
      </c>
      <c r="C209" s="19" t="s">
        <v>56</v>
      </c>
      <c r="D209" s="19" t="s">
        <v>36</v>
      </c>
      <c r="E209" s="19">
        <v>11400.0</v>
      </c>
      <c r="F209" s="20">
        <v>4.0</v>
      </c>
      <c r="G209" s="20">
        <v>-38.6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20">
        <v>0.0</v>
      </c>
      <c r="O209" s="20">
        <v>0.0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18">
        <v>46039.72014614583</v>
      </c>
      <c r="B210" s="19">
        <v>204.0</v>
      </c>
      <c r="C210" s="19" t="s">
        <v>53</v>
      </c>
      <c r="D210" s="19" t="s">
        <v>6</v>
      </c>
      <c r="E210" s="19">
        <v>25200.0</v>
      </c>
      <c r="F210" s="20">
        <v>3.0</v>
      </c>
      <c r="G210" s="20">
        <v>-14.8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20">
        <v>0.0</v>
      </c>
      <c r="O210" s="20">
        <v>0.0</v>
      </c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18">
        <v>46039.72014614583</v>
      </c>
      <c r="B211" s="19">
        <v>204.0</v>
      </c>
      <c r="C211" s="19" t="s">
        <v>54</v>
      </c>
      <c r="D211" s="19" t="s">
        <v>17</v>
      </c>
      <c r="E211" s="19">
        <v>26700.0</v>
      </c>
      <c r="F211" s="20">
        <v>2.0</v>
      </c>
      <c r="G211" s="20">
        <v>6.7</v>
      </c>
      <c r="I211" s="6">
        <v>1.0</v>
      </c>
      <c r="J211" s="6">
        <v>0.0</v>
      </c>
      <c r="K211" s="6">
        <v>0.0</v>
      </c>
      <c r="L211" s="6">
        <v>0.0</v>
      </c>
      <c r="M211" s="6">
        <v>0.0</v>
      </c>
      <c r="N211" s="20">
        <v>0.0</v>
      </c>
      <c r="O211" s="20">
        <v>0.0</v>
      </c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18">
        <v>46039.72014614583</v>
      </c>
      <c r="B212" s="19">
        <v>204.0</v>
      </c>
      <c r="C212" s="19" t="s">
        <v>55</v>
      </c>
      <c r="D212" s="19" t="s">
        <v>24</v>
      </c>
      <c r="E212" s="19">
        <v>8500.0</v>
      </c>
      <c r="F212" s="20">
        <v>4.0</v>
      </c>
      <c r="G212" s="20">
        <v>-41.5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20">
        <v>0.0</v>
      </c>
      <c r="O212" s="20">
        <v>0.0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18">
        <v>46039.72014614583</v>
      </c>
      <c r="B213" s="19">
        <v>204.0</v>
      </c>
      <c r="C213" s="19" t="s">
        <v>56</v>
      </c>
      <c r="D213" s="19" t="s">
        <v>7</v>
      </c>
      <c r="E213" s="19">
        <v>39600.0</v>
      </c>
      <c r="F213" s="20">
        <v>1.0</v>
      </c>
      <c r="G213" s="20">
        <v>49.6</v>
      </c>
      <c r="I213" s="6">
        <v>1.0</v>
      </c>
      <c r="J213" s="6">
        <v>0.0</v>
      </c>
      <c r="K213" s="6">
        <v>0.0</v>
      </c>
      <c r="L213" s="6">
        <v>0.0</v>
      </c>
      <c r="M213" s="6">
        <v>0.0</v>
      </c>
      <c r="N213" s="20">
        <v>0.0</v>
      </c>
      <c r="O213" s="20">
        <v>0.0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18">
        <v>46039.68609793982</v>
      </c>
      <c r="B214" s="19">
        <v>203.0</v>
      </c>
      <c r="C214" s="19" t="s">
        <v>53</v>
      </c>
      <c r="D214" s="19" t="s">
        <v>24</v>
      </c>
      <c r="E214" s="19">
        <v>20800.0</v>
      </c>
      <c r="F214" s="20">
        <v>4.0</v>
      </c>
      <c r="G214" s="20">
        <v>-29.2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20">
        <v>0.0</v>
      </c>
      <c r="O214" s="20">
        <v>0.0</v>
      </c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18">
        <v>46039.68609793982</v>
      </c>
      <c r="B215" s="19">
        <v>203.0</v>
      </c>
      <c r="C215" s="19" t="s">
        <v>54</v>
      </c>
      <c r="D215" s="19" t="s">
        <v>36</v>
      </c>
      <c r="E215" s="19">
        <v>26100.0</v>
      </c>
      <c r="F215" s="20">
        <v>2.0</v>
      </c>
      <c r="G215" s="20">
        <v>6.1</v>
      </c>
      <c r="I215" s="6">
        <v>0.0</v>
      </c>
      <c r="J215" s="6">
        <v>1.0</v>
      </c>
      <c r="K215" s="6">
        <v>0.0</v>
      </c>
      <c r="L215" s="6">
        <v>0.0</v>
      </c>
      <c r="M215" s="6">
        <v>0.0</v>
      </c>
      <c r="N215" s="20">
        <v>0.0</v>
      </c>
      <c r="O215" s="20">
        <v>0.0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18">
        <v>46039.68609793982</v>
      </c>
      <c r="B216" s="19">
        <v>203.0</v>
      </c>
      <c r="C216" s="19" t="s">
        <v>55</v>
      </c>
      <c r="D216" s="19" t="s">
        <v>17</v>
      </c>
      <c r="E216" s="19">
        <v>22200.0</v>
      </c>
      <c r="F216" s="20">
        <v>3.0</v>
      </c>
      <c r="G216" s="20">
        <v>-17.8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20">
        <v>0.0</v>
      </c>
      <c r="O216" s="20">
        <v>0.0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18">
        <v>46039.68609793982</v>
      </c>
      <c r="B217" s="19">
        <v>203.0</v>
      </c>
      <c r="C217" s="19" t="s">
        <v>56</v>
      </c>
      <c r="D217" s="19" t="s">
        <v>7</v>
      </c>
      <c r="E217" s="19">
        <v>30900.0</v>
      </c>
      <c r="F217" s="20">
        <v>1.0</v>
      </c>
      <c r="G217" s="20">
        <v>40.9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20">
        <v>0.0</v>
      </c>
      <c r="O217" s="20">
        <v>0.0</v>
      </c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18">
        <v>46039.621524409726</v>
      </c>
      <c r="B218" s="19">
        <v>202.0</v>
      </c>
      <c r="C218" s="19" t="s">
        <v>53</v>
      </c>
      <c r="D218" s="19" t="s">
        <v>8</v>
      </c>
      <c r="E218" s="19">
        <v>14500.0</v>
      </c>
      <c r="F218" s="20">
        <v>3.0</v>
      </c>
      <c r="G218" s="20">
        <v>-25.5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20">
        <v>0.0</v>
      </c>
      <c r="O218" s="20">
        <v>0.0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18">
        <v>46039.621524409726</v>
      </c>
      <c r="B219" s="19">
        <v>202.0</v>
      </c>
      <c r="C219" s="19" t="s">
        <v>54</v>
      </c>
      <c r="D219" s="19" t="s">
        <v>15</v>
      </c>
      <c r="E219" s="19">
        <v>11500.0</v>
      </c>
      <c r="F219" s="20">
        <v>4.0</v>
      </c>
      <c r="G219" s="20">
        <v>-38.5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20">
        <v>0.0</v>
      </c>
      <c r="O219" s="20">
        <v>0.0</v>
      </c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18">
        <v>46039.621524409726</v>
      </c>
      <c r="B220" s="19">
        <v>202.0</v>
      </c>
      <c r="C220" s="19" t="s">
        <v>55</v>
      </c>
      <c r="D220" s="19" t="s">
        <v>5</v>
      </c>
      <c r="E220" s="19">
        <v>24100.0</v>
      </c>
      <c r="F220" s="20">
        <v>2.0</v>
      </c>
      <c r="G220" s="20">
        <v>4.1</v>
      </c>
      <c r="I220" s="6">
        <v>1.0</v>
      </c>
      <c r="J220" s="6">
        <v>0.0</v>
      </c>
      <c r="K220" s="6">
        <v>0.0</v>
      </c>
      <c r="L220" s="6">
        <v>0.0</v>
      </c>
      <c r="M220" s="6">
        <v>0.0</v>
      </c>
      <c r="N220" s="20">
        <v>0.0</v>
      </c>
      <c r="O220" s="20">
        <v>0.0</v>
      </c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18">
        <v>46039.621524409726</v>
      </c>
      <c r="B221" s="19">
        <v>202.0</v>
      </c>
      <c r="C221" s="19" t="s">
        <v>56</v>
      </c>
      <c r="D221" s="19" t="s">
        <v>6</v>
      </c>
      <c r="E221" s="19">
        <v>49900.0</v>
      </c>
      <c r="F221" s="20">
        <v>1.0</v>
      </c>
      <c r="G221" s="20">
        <v>59.9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20">
        <v>0.0</v>
      </c>
      <c r="O221" s="20">
        <v>0.0</v>
      </c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18">
        <v>46039.55373791666</v>
      </c>
      <c r="B222" s="19">
        <v>201.0</v>
      </c>
      <c r="C222" s="19" t="s">
        <v>53</v>
      </c>
      <c r="D222" s="19" t="s">
        <v>8</v>
      </c>
      <c r="E222" s="19">
        <v>10200.0</v>
      </c>
      <c r="F222" s="20">
        <v>4.0</v>
      </c>
      <c r="G222" s="20">
        <v>-39.8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20">
        <v>0.0</v>
      </c>
      <c r="O222" s="20">
        <v>0.0</v>
      </c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18">
        <v>46039.55373791666</v>
      </c>
      <c r="B223" s="19">
        <v>201.0</v>
      </c>
      <c r="C223" s="19" t="s">
        <v>54</v>
      </c>
      <c r="D223" s="19" t="s">
        <v>15</v>
      </c>
      <c r="E223" s="19">
        <v>16700.0</v>
      </c>
      <c r="F223" s="20">
        <v>3.0</v>
      </c>
      <c r="G223" s="20">
        <v>-23.3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20">
        <v>0.0</v>
      </c>
      <c r="O223" s="20">
        <v>0.0</v>
      </c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18">
        <v>46039.55373791666</v>
      </c>
      <c r="B224" s="19">
        <v>201.0</v>
      </c>
      <c r="C224" s="19" t="s">
        <v>55</v>
      </c>
      <c r="D224" s="19" t="s">
        <v>5</v>
      </c>
      <c r="E224" s="19">
        <v>35400.0</v>
      </c>
      <c r="F224" s="20">
        <v>2.0</v>
      </c>
      <c r="G224" s="20">
        <v>15.4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20">
        <v>0.0</v>
      </c>
      <c r="O224" s="20">
        <v>0.0</v>
      </c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18">
        <v>46039.55373791666</v>
      </c>
      <c r="B225" s="19">
        <v>201.0</v>
      </c>
      <c r="C225" s="19" t="s">
        <v>56</v>
      </c>
      <c r="D225" s="19" t="s">
        <v>6</v>
      </c>
      <c r="E225" s="19">
        <v>37700.0</v>
      </c>
      <c r="F225" s="20">
        <v>1.0</v>
      </c>
      <c r="G225" s="20">
        <v>47.7</v>
      </c>
      <c r="I225" s="6">
        <v>1.0</v>
      </c>
      <c r="J225" s="6">
        <v>0.0</v>
      </c>
      <c r="K225" s="6">
        <v>0.0</v>
      </c>
      <c r="L225" s="6">
        <v>0.0</v>
      </c>
      <c r="M225" s="6">
        <v>0.0</v>
      </c>
      <c r="N225" s="20">
        <v>0.0</v>
      </c>
      <c r="O225" s="20">
        <v>0.0</v>
      </c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18">
        <v>46025.95034377315</v>
      </c>
      <c r="B226" s="19">
        <v>200.0</v>
      </c>
      <c r="C226" s="19" t="s">
        <v>53</v>
      </c>
      <c r="D226" s="19" t="s">
        <v>11</v>
      </c>
      <c r="E226" s="19">
        <v>-200.0</v>
      </c>
      <c r="F226" s="20">
        <v>4.0</v>
      </c>
      <c r="G226" s="20">
        <v>-50.2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20">
        <v>0.0</v>
      </c>
      <c r="O226" s="20">
        <v>0.0</v>
      </c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18">
        <v>46025.95034377315</v>
      </c>
      <c r="B227" s="19">
        <v>200.0</v>
      </c>
      <c r="C227" s="19" t="s">
        <v>54</v>
      </c>
      <c r="D227" s="19" t="s">
        <v>36</v>
      </c>
      <c r="E227" s="19">
        <v>74500.0</v>
      </c>
      <c r="F227" s="20">
        <v>1.0</v>
      </c>
      <c r="G227" s="20">
        <v>84.5</v>
      </c>
      <c r="I227" s="6">
        <v>1.0</v>
      </c>
      <c r="J227" s="6">
        <v>1.0</v>
      </c>
      <c r="K227" s="6">
        <v>1.0</v>
      </c>
      <c r="L227" s="6">
        <v>0.0</v>
      </c>
      <c r="M227" s="6">
        <v>0.0</v>
      </c>
      <c r="N227" s="20">
        <v>0.0</v>
      </c>
      <c r="O227" s="20">
        <v>0.0</v>
      </c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18">
        <v>46025.95034377315</v>
      </c>
      <c r="B228" s="19">
        <v>200.0</v>
      </c>
      <c r="C228" s="19" t="s">
        <v>55</v>
      </c>
      <c r="D228" s="19" t="s">
        <v>6</v>
      </c>
      <c r="E228" s="19">
        <v>9400.0</v>
      </c>
      <c r="F228" s="20">
        <v>3.0</v>
      </c>
      <c r="G228" s="20">
        <v>-30.6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20">
        <v>0.0</v>
      </c>
      <c r="O228" s="20">
        <v>0.0</v>
      </c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18">
        <v>46025.95034377315</v>
      </c>
      <c r="B229" s="19">
        <v>200.0</v>
      </c>
      <c r="C229" s="19" t="s">
        <v>56</v>
      </c>
      <c r="D229" s="19" t="s">
        <v>7</v>
      </c>
      <c r="E229" s="19">
        <v>16300.0</v>
      </c>
      <c r="F229" s="20">
        <v>2.0</v>
      </c>
      <c r="G229" s="20">
        <v>-3.6999999999999993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20">
        <v>0.0</v>
      </c>
      <c r="O229" s="20">
        <v>0.0</v>
      </c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18">
        <v>46025.91734644676</v>
      </c>
      <c r="B230" s="19">
        <v>199.0</v>
      </c>
      <c r="C230" s="19" t="s">
        <v>53</v>
      </c>
      <c r="D230" s="19" t="s">
        <v>5</v>
      </c>
      <c r="E230" s="19">
        <v>22200.0</v>
      </c>
      <c r="F230" s="20">
        <v>2.0</v>
      </c>
      <c r="G230" s="20">
        <v>2.2</v>
      </c>
      <c r="I230" s="6">
        <v>1.0</v>
      </c>
      <c r="J230" s="6">
        <v>0.0</v>
      </c>
      <c r="K230" s="6">
        <v>0.0</v>
      </c>
      <c r="L230" s="6">
        <v>0.0</v>
      </c>
      <c r="M230" s="6">
        <v>0.0</v>
      </c>
      <c r="N230" s="20">
        <v>0.0</v>
      </c>
      <c r="O230" s="20">
        <v>0.0</v>
      </c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18">
        <v>46025.91734644676</v>
      </c>
      <c r="B231" s="19">
        <v>199.0</v>
      </c>
      <c r="C231" s="19" t="s">
        <v>54</v>
      </c>
      <c r="D231" s="19" t="s">
        <v>15</v>
      </c>
      <c r="E231" s="19">
        <v>40100.0</v>
      </c>
      <c r="F231" s="20">
        <v>1.0</v>
      </c>
      <c r="G231" s="20">
        <v>50.1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20">
        <v>0.0</v>
      </c>
      <c r="O231" s="20">
        <v>0.0</v>
      </c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18">
        <v>46025.91734644676</v>
      </c>
      <c r="B232" s="19">
        <v>199.0</v>
      </c>
      <c r="C232" s="19" t="s">
        <v>55</v>
      </c>
      <c r="D232" s="19" t="s">
        <v>37</v>
      </c>
      <c r="E232" s="19">
        <v>19800.0</v>
      </c>
      <c r="F232" s="20">
        <v>3.0</v>
      </c>
      <c r="G232" s="20">
        <v>-20.2</v>
      </c>
      <c r="I232" s="6">
        <v>0.0</v>
      </c>
      <c r="J232" s="6">
        <v>1.0</v>
      </c>
      <c r="K232" s="6">
        <v>0.0</v>
      </c>
      <c r="L232" s="6">
        <v>0.0</v>
      </c>
      <c r="M232" s="6">
        <v>0.0</v>
      </c>
      <c r="N232" s="20">
        <v>0.0</v>
      </c>
      <c r="O232" s="20">
        <v>0.0</v>
      </c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18">
        <v>46025.91734644676</v>
      </c>
      <c r="B233" s="19">
        <v>199.0</v>
      </c>
      <c r="C233" s="19" t="s">
        <v>56</v>
      </c>
      <c r="D233" s="19" t="s">
        <v>36</v>
      </c>
      <c r="E233" s="19">
        <v>17900.0</v>
      </c>
      <c r="F233" s="20">
        <v>4.0</v>
      </c>
      <c r="G233" s="20">
        <v>-32.1</v>
      </c>
      <c r="I233" s="6">
        <v>1.0</v>
      </c>
      <c r="J233" s="6">
        <v>0.0</v>
      </c>
      <c r="K233" s="6">
        <v>0.0</v>
      </c>
      <c r="L233" s="6">
        <v>0.0</v>
      </c>
      <c r="M233" s="6">
        <v>0.0</v>
      </c>
      <c r="N233" s="20">
        <v>0.0</v>
      </c>
      <c r="O233" s="20">
        <v>0.0</v>
      </c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18">
        <v>46025.91450082176</v>
      </c>
      <c r="B234" s="19">
        <v>198.0</v>
      </c>
      <c r="C234" s="19" t="s">
        <v>53</v>
      </c>
      <c r="D234" s="19" t="s">
        <v>8</v>
      </c>
      <c r="E234" s="19">
        <v>35900.0</v>
      </c>
      <c r="F234" s="20">
        <v>2.0</v>
      </c>
      <c r="G234" s="20">
        <v>15.9</v>
      </c>
      <c r="I234" s="6">
        <v>0.0</v>
      </c>
      <c r="J234" s="6">
        <v>1.0</v>
      </c>
      <c r="K234" s="6">
        <v>0.0</v>
      </c>
      <c r="L234" s="6">
        <v>0.0</v>
      </c>
      <c r="M234" s="6">
        <v>0.0</v>
      </c>
      <c r="N234" s="20">
        <v>0.0</v>
      </c>
      <c r="O234" s="20">
        <v>0.0</v>
      </c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18">
        <v>46025.91450082176</v>
      </c>
      <c r="B235" s="19">
        <v>198.0</v>
      </c>
      <c r="C235" s="19" t="s">
        <v>54</v>
      </c>
      <c r="D235" s="19" t="s">
        <v>6</v>
      </c>
      <c r="E235" s="19">
        <v>13900.0</v>
      </c>
      <c r="F235" s="20">
        <v>3.0</v>
      </c>
      <c r="G235" s="20">
        <v>-26.1</v>
      </c>
      <c r="I235" s="6">
        <v>1.0</v>
      </c>
      <c r="J235" s="6">
        <v>0.0</v>
      </c>
      <c r="K235" s="6">
        <v>0.0</v>
      </c>
      <c r="L235" s="6">
        <v>0.0</v>
      </c>
      <c r="M235" s="6">
        <v>0.0</v>
      </c>
      <c r="N235" s="20">
        <v>0.0</v>
      </c>
      <c r="O235" s="20">
        <v>0.0</v>
      </c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18">
        <v>46025.91450082176</v>
      </c>
      <c r="B236" s="19">
        <v>198.0</v>
      </c>
      <c r="C236" s="19" t="s">
        <v>55</v>
      </c>
      <c r="D236" s="19" t="s">
        <v>11</v>
      </c>
      <c r="E236" s="19">
        <v>50300.0</v>
      </c>
      <c r="F236" s="20">
        <v>1.0</v>
      </c>
      <c r="G236" s="20">
        <v>60.3</v>
      </c>
      <c r="I236" s="6">
        <v>0.0</v>
      </c>
      <c r="J236" s="6">
        <v>1.0</v>
      </c>
      <c r="K236" s="6">
        <v>0.0</v>
      </c>
      <c r="L236" s="6">
        <v>0.0</v>
      </c>
      <c r="M236" s="6">
        <v>0.0</v>
      </c>
      <c r="N236" s="20">
        <v>0.0</v>
      </c>
      <c r="O236" s="20">
        <v>0.0</v>
      </c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18">
        <v>46025.91450082176</v>
      </c>
      <c r="B237" s="19">
        <v>198.0</v>
      </c>
      <c r="C237" s="19" t="s">
        <v>56</v>
      </c>
      <c r="D237" s="19" t="s">
        <v>7</v>
      </c>
      <c r="E237" s="19">
        <v>-100.0</v>
      </c>
      <c r="F237" s="20">
        <v>4.0</v>
      </c>
      <c r="G237" s="20">
        <v>-50.1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20">
        <v>0.0</v>
      </c>
      <c r="O237" s="20">
        <v>0.0</v>
      </c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18">
        <v>46025.850810613425</v>
      </c>
      <c r="B238" s="19">
        <v>197.0</v>
      </c>
      <c r="C238" s="19" t="s">
        <v>53</v>
      </c>
      <c r="D238" s="19" t="s">
        <v>15</v>
      </c>
      <c r="E238" s="19">
        <v>15900.0</v>
      </c>
      <c r="F238" s="20">
        <v>4.0</v>
      </c>
      <c r="G238" s="20">
        <v>-34.1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20">
        <v>0.0</v>
      </c>
      <c r="O238" s="20">
        <v>0.0</v>
      </c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18">
        <v>46025.850810613425</v>
      </c>
      <c r="B239" s="19">
        <v>197.0</v>
      </c>
      <c r="C239" s="19" t="s">
        <v>54</v>
      </c>
      <c r="D239" s="19" t="s">
        <v>11</v>
      </c>
      <c r="E239" s="19">
        <v>18500.0</v>
      </c>
      <c r="F239" s="20">
        <v>3.0</v>
      </c>
      <c r="G239" s="20">
        <v>-21.5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20">
        <v>0.0</v>
      </c>
      <c r="O239" s="20">
        <v>0.0</v>
      </c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18">
        <v>46025.850810613425</v>
      </c>
      <c r="B240" s="19">
        <v>197.0</v>
      </c>
      <c r="C240" s="19" t="s">
        <v>55</v>
      </c>
      <c r="D240" s="19" t="s">
        <v>5</v>
      </c>
      <c r="E240" s="19">
        <v>28100.0</v>
      </c>
      <c r="F240" s="20">
        <v>2.0</v>
      </c>
      <c r="G240" s="20">
        <v>8.1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20">
        <v>0.0</v>
      </c>
      <c r="O240" s="20">
        <v>0.0</v>
      </c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18">
        <v>46025.850810613425</v>
      </c>
      <c r="B241" s="19">
        <v>197.0</v>
      </c>
      <c r="C241" s="19" t="s">
        <v>56</v>
      </c>
      <c r="D241" s="19" t="s">
        <v>6</v>
      </c>
      <c r="E241" s="19">
        <v>37500.0</v>
      </c>
      <c r="F241" s="20">
        <v>1.0</v>
      </c>
      <c r="G241" s="20">
        <v>47.5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20">
        <v>0.0</v>
      </c>
      <c r="O241" s="20">
        <v>0.0</v>
      </c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18">
        <v>46025.84557107639</v>
      </c>
      <c r="B242" s="19">
        <v>196.0</v>
      </c>
      <c r="C242" s="19" t="s">
        <v>53</v>
      </c>
      <c r="D242" s="19" t="s">
        <v>37</v>
      </c>
      <c r="E242" s="19">
        <v>13000.0</v>
      </c>
      <c r="F242" s="20">
        <v>4.0</v>
      </c>
      <c r="G242" s="20">
        <v>-37.0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20">
        <v>0.0</v>
      </c>
      <c r="O242" s="20">
        <v>0.0</v>
      </c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18">
        <v>46025.84557107639</v>
      </c>
      <c r="B243" s="19">
        <v>196.0</v>
      </c>
      <c r="C243" s="19" t="s">
        <v>54</v>
      </c>
      <c r="D243" s="19" t="s">
        <v>7</v>
      </c>
      <c r="E243" s="19">
        <v>45400.0</v>
      </c>
      <c r="F243" s="20">
        <v>1.0</v>
      </c>
      <c r="G243" s="20">
        <v>55.4</v>
      </c>
      <c r="I243" s="6">
        <v>1.0</v>
      </c>
      <c r="J243" s="6">
        <v>1.0</v>
      </c>
      <c r="K243" s="6">
        <v>0.0</v>
      </c>
      <c r="L243" s="6">
        <v>0.0</v>
      </c>
      <c r="M243" s="6">
        <v>0.0</v>
      </c>
      <c r="N243" s="20">
        <v>0.0</v>
      </c>
      <c r="O243" s="20">
        <v>0.0</v>
      </c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18">
        <v>46025.84557107639</v>
      </c>
      <c r="B244" s="19">
        <v>196.0</v>
      </c>
      <c r="C244" s="19" t="s">
        <v>55</v>
      </c>
      <c r="D244" s="19" t="s">
        <v>8</v>
      </c>
      <c r="E244" s="19">
        <v>19500.0</v>
      </c>
      <c r="F244" s="20">
        <v>3.0</v>
      </c>
      <c r="G244" s="20">
        <v>-20.5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20">
        <v>0.0</v>
      </c>
      <c r="O244" s="20">
        <v>0.0</v>
      </c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18">
        <v>46025.84557107639</v>
      </c>
      <c r="B245" s="19">
        <v>196.0</v>
      </c>
      <c r="C245" s="19" t="s">
        <v>56</v>
      </c>
      <c r="D245" s="19" t="s">
        <v>36</v>
      </c>
      <c r="E245" s="19">
        <v>22100.0</v>
      </c>
      <c r="F245" s="20">
        <v>2.0</v>
      </c>
      <c r="G245" s="20">
        <v>2.0999999999999996</v>
      </c>
      <c r="I245" s="6">
        <v>0.0</v>
      </c>
      <c r="J245" s="6">
        <v>1.0</v>
      </c>
      <c r="K245" s="6">
        <v>0.0</v>
      </c>
      <c r="L245" s="6">
        <v>0.0</v>
      </c>
      <c r="M245" s="6">
        <v>0.0</v>
      </c>
      <c r="N245" s="20">
        <v>0.0</v>
      </c>
      <c r="O245" s="20">
        <v>0.0</v>
      </c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18">
        <v>46025.77534119213</v>
      </c>
      <c r="B246" s="19">
        <v>195.0</v>
      </c>
      <c r="C246" s="19" t="s">
        <v>53</v>
      </c>
      <c r="D246" s="19" t="s">
        <v>36</v>
      </c>
      <c r="E246" s="19">
        <v>28200.0</v>
      </c>
      <c r="F246" s="20">
        <v>3.0</v>
      </c>
      <c r="G246" s="20">
        <v>-11.8</v>
      </c>
      <c r="I246" s="6">
        <v>0.0</v>
      </c>
      <c r="J246" s="6">
        <v>1.0</v>
      </c>
      <c r="K246" s="6">
        <v>0.0</v>
      </c>
      <c r="L246" s="6">
        <v>0.0</v>
      </c>
      <c r="M246" s="6">
        <v>0.0</v>
      </c>
      <c r="N246" s="20">
        <v>0.0</v>
      </c>
      <c r="O246" s="20">
        <v>0.0</v>
      </c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18">
        <v>46025.77534119213</v>
      </c>
      <c r="B247" s="19">
        <v>195.0</v>
      </c>
      <c r="C247" s="19" t="s">
        <v>54</v>
      </c>
      <c r="D247" s="19" t="s">
        <v>5</v>
      </c>
      <c r="E247" s="19">
        <v>34800.0</v>
      </c>
      <c r="F247" s="20">
        <v>2.0</v>
      </c>
      <c r="G247" s="20">
        <v>14.8</v>
      </c>
      <c r="I247" s="6">
        <v>1.0</v>
      </c>
      <c r="J247" s="6">
        <v>0.0</v>
      </c>
      <c r="K247" s="6">
        <v>0.0</v>
      </c>
      <c r="L247" s="6">
        <v>0.0</v>
      </c>
      <c r="M247" s="6">
        <v>0.0</v>
      </c>
      <c r="N247" s="20">
        <v>0.0</v>
      </c>
      <c r="O247" s="20">
        <v>0.0</v>
      </c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18">
        <v>46025.77534119213</v>
      </c>
      <c r="B248" s="19">
        <v>195.0</v>
      </c>
      <c r="C248" s="19" t="s">
        <v>55</v>
      </c>
      <c r="D248" s="19" t="s">
        <v>15</v>
      </c>
      <c r="E248" s="19">
        <v>37200.0</v>
      </c>
      <c r="F248" s="20">
        <v>1.0</v>
      </c>
      <c r="G248" s="20">
        <v>47.2</v>
      </c>
      <c r="I248" s="6">
        <v>0.0</v>
      </c>
      <c r="J248" s="6">
        <v>1.0</v>
      </c>
      <c r="K248" s="6">
        <v>0.0</v>
      </c>
      <c r="L248" s="6">
        <v>0.0</v>
      </c>
      <c r="M248" s="6">
        <v>0.0</v>
      </c>
      <c r="N248" s="20">
        <v>0.0</v>
      </c>
      <c r="O248" s="20">
        <v>0.0</v>
      </c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18">
        <v>46025.77534119213</v>
      </c>
      <c r="B249" s="19">
        <v>195.0</v>
      </c>
      <c r="C249" s="19" t="s">
        <v>56</v>
      </c>
      <c r="D249" s="19" t="s">
        <v>37</v>
      </c>
      <c r="E249" s="19">
        <v>-200.0</v>
      </c>
      <c r="F249" s="20">
        <v>4.0</v>
      </c>
      <c r="G249" s="20">
        <v>-50.2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20">
        <v>0.0</v>
      </c>
      <c r="O249" s="20">
        <v>0.0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18">
        <v>46025.74828792824</v>
      </c>
      <c r="B250" s="19">
        <v>194.0</v>
      </c>
      <c r="C250" s="19" t="s">
        <v>53</v>
      </c>
      <c r="D250" s="19" t="s">
        <v>6</v>
      </c>
      <c r="E250" s="19">
        <v>41000.0</v>
      </c>
      <c r="F250" s="20">
        <v>1.0</v>
      </c>
      <c r="G250" s="20">
        <v>51.0</v>
      </c>
      <c r="I250" s="6">
        <v>0.0</v>
      </c>
      <c r="J250" s="6">
        <v>1.0</v>
      </c>
      <c r="K250" s="6">
        <v>0.0</v>
      </c>
      <c r="L250" s="6">
        <v>0.0</v>
      </c>
      <c r="M250" s="6">
        <v>0.0</v>
      </c>
      <c r="N250" s="20">
        <v>0.0</v>
      </c>
      <c r="O250" s="20">
        <v>0.0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18">
        <v>46025.74828792824</v>
      </c>
      <c r="B251" s="19">
        <v>194.0</v>
      </c>
      <c r="C251" s="19" t="s">
        <v>54</v>
      </c>
      <c r="D251" s="19" t="s">
        <v>7</v>
      </c>
      <c r="E251" s="19">
        <v>36400.0</v>
      </c>
      <c r="F251" s="20">
        <v>2.0</v>
      </c>
      <c r="G251" s="20">
        <v>16.4</v>
      </c>
      <c r="I251" s="6">
        <v>1.0</v>
      </c>
      <c r="J251" s="6">
        <v>0.0</v>
      </c>
      <c r="K251" s="6">
        <v>0.0</v>
      </c>
      <c r="L251" s="6">
        <v>0.0</v>
      </c>
      <c r="M251" s="6">
        <v>0.0</v>
      </c>
      <c r="N251" s="20">
        <v>0.0</v>
      </c>
      <c r="O251" s="20">
        <v>0.0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18">
        <v>46025.74828792824</v>
      </c>
      <c r="B252" s="19">
        <v>194.0</v>
      </c>
      <c r="C252" s="19" t="s">
        <v>55</v>
      </c>
      <c r="D252" s="19" t="s">
        <v>8</v>
      </c>
      <c r="E252" s="19">
        <v>-5700.0</v>
      </c>
      <c r="F252" s="20">
        <v>4.0</v>
      </c>
      <c r="G252" s="20">
        <v>-55.7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20">
        <v>0.0</v>
      </c>
      <c r="O252" s="20">
        <v>0.0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18">
        <v>46025.74828792824</v>
      </c>
      <c r="B253" s="19">
        <v>194.0</v>
      </c>
      <c r="C253" s="19" t="s">
        <v>56</v>
      </c>
      <c r="D253" s="19" t="s">
        <v>11</v>
      </c>
      <c r="E253" s="19">
        <v>28300.0</v>
      </c>
      <c r="F253" s="20">
        <v>3.0</v>
      </c>
      <c r="G253" s="20">
        <v>-11.7</v>
      </c>
      <c r="I253" s="6">
        <v>1.0</v>
      </c>
      <c r="J253" s="6">
        <v>0.0</v>
      </c>
      <c r="K253" s="6">
        <v>0.0</v>
      </c>
      <c r="L253" s="6">
        <v>0.0</v>
      </c>
      <c r="M253" s="6">
        <v>0.0</v>
      </c>
      <c r="N253" s="20">
        <v>0.0</v>
      </c>
      <c r="O253" s="20">
        <v>0.0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18">
        <v>46025.71648171297</v>
      </c>
      <c r="B254" s="19">
        <v>193.0</v>
      </c>
      <c r="C254" s="19" t="s">
        <v>53</v>
      </c>
      <c r="D254" s="19" t="s">
        <v>11</v>
      </c>
      <c r="E254" s="19">
        <v>32000.0</v>
      </c>
      <c r="F254" s="20">
        <v>1.0</v>
      </c>
      <c r="G254" s="20">
        <v>42.0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20">
        <v>0.0</v>
      </c>
      <c r="O254" s="20">
        <v>0.0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18">
        <v>46025.71648171297</v>
      </c>
      <c r="B255" s="19">
        <v>193.0</v>
      </c>
      <c r="C255" s="19" t="s">
        <v>54</v>
      </c>
      <c r="D255" s="19" t="s">
        <v>7</v>
      </c>
      <c r="E255" s="19">
        <v>14300.0</v>
      </c>
      <c r="F255" s="20">
        <v>4.0</v>
      </c>
      <c r="G255" s="20">
        <v>-35.7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20">
        <v>0.0</v>
      </c>
      <c r="O255" s="20">
        <v>0.0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18">
        <v>46025.71648171297</v>
      </c>
      <c r="B256" s="19">
        <v>193.0</v>
      </c>
      <c r="C256" s="19" t="s">
        <v>55</v>
      </c>
      <c r="D256" s="19" t="s">
        <v>36</v>
      </c>
      <c r="E256" s="19">
        <v>22200.0</v>
      </c>
      <c r="F256" s="20">
        <v>3.0</v>
      </c>
      <c r="G256" s="20">
        <v>-17.8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20">
        <v>0.0</v>
      </c>
      <c r="O256" s="20">
        <v>0.0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18">
        <v>46025.71648171297</v>
      </c>
      <c r="B257" s="19">
        <v>193.0</v>
      </c>
      <c r="C257" s="19" t="s">
        <v>56</v>
      </c>
      <c r="D257" s="19" t="s">
        <v>8</v>
      </c>
      <c r="E257" s="19">
        <v>31500.0</v>
      </c>
      <c r="F257" s="20">
        <v>2.0</v>
      </c>
      <c r="G257" s="20">
        <v>11.5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20">
        <v>0.0</v>
      </c>
      <c r="O257" s="20">
        <v>0.0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18">
        <v>46025.70858175926</v>
      </c>
      <c r="B258" s="19">
        <v>192.0</v>
      </c>
      <c r="C258" s="19" t="s">
        <v>53</v>
      </c>
      <c r="D258" s="19" t="s">
        <v>37</v>
      </c>
      <c r="E258" s="19">
        <v>14800.0</v>
      </c>
      <c r="F258" s="20">
        <v>3.0</v>
      </c>
      <c r="G258" s="20">
        <v>-25.2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20">
        <v>0.0</v>
      </c>
      <c r="O258" s="20">
        <v>0.0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18">
        <v>46025.70858175926</v>
      </c>
      <c r="B259" s="19">
        <v>192.0</v>
      </c>
      <c r="C259" s="19" t="s">
        <v>54</v>
      </c>
      <c r="D259" s="19" t="s">
        <v>6</v>
      </c>
      <c r="E259" s="19">
        <v>49800.0</v>
      </c>
      <c r="F259" s="20">
        <v>1.0</v>
      </c>
      <c r="G259" s="20">
        <v>59.8</v>
      </c>
      <c r="I259" s="6">
        <v>0.0</v>
      </c>
      <c r="J259" s="6">
        <v>1.0</v>
      </c>
      <c r="K259" s="6">
        <v>0.0</v>
      </c>
      <c r="L259" s="6">
        <v>0.0</v>
      </c>
      <c r="M259" s="6">
        <v>0.0</v>
      </c>
      <c r="N259" s="20">
        <v>0.0</v>
      </c>
      <c r="O259" s="20">
        <v>0.0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18">
        <v>46025.70858175926</v>
      </c>
      <c r="B260" s="19">
        <v>192.0</v>
      </c>
      <c r="C260" s="19" t="s">
        <v>55</v>
      </c>
      <c r="D260" s="19" t="s">
        <v>5</v>
      </c>
      <c r="E260" s="19">
        <v>-2600.0</v>
      </c>
      <c r="F260" s="20">
        <v>4.0</v>
      </c>
      <c r="G260" s="20">
        <v>-52.6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20">
        <v>0.0</v>
      </c>
      <c r="O260" s="20">
        <v>0.0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18">
        <v>46025.70858175926</v>
      </c>
      <c r="B261" s="19">
        <v>192.0</v>
      </c>
      <c r="C261" s="19" t="s">
        <v>56</v>
      </c>
      <c r="D261" s="19" t="s">
        <v>15</v>
      </c>
      <c r="E261" s="19">
        <v>38000.0</v>
      </c>
      <c r="F261" s="20">
        <v>2.0</v>
      </c>
      <c r="G261" s="20">
        <v>18.0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20">
        <v>0.0</v>
      </c>
      <c r="O261" s="20">
        <v>0.0</v>
      </c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18">
        <v>46025.65314421296</v>
      </c>
      <c r="B262" s="19">
        <v>191.0</v>
      </c>
      <c r="C262" s="19" t="s">
        <v>53</v>
      </c>
      <c r="D262" s="19" t="s">
        <v>5</v>
      </c>
      <c r="E262" s="19">
        <v>31700.0</v>
      </c>
      <c r="F262" s="20">
        <v>2.0</v>
      </c>
      <c r="G262" s="20">
        <v>11.7</v>
      </c>
      <c r="I262" s="6">
        <v>1.0</v>
      </c>
      <c r="J262" s="6">
        <v>0.0</v>
      </c>
      <c r="K262" s="6">
        <v>0.0</v>
      </c>
      <c r="L262" s="6">
        <v>0.0</v>
      </c>
      <c r="M262" s="6">
        <v>0.0</v>
      </c>
      <c r="N262" s="20">
        <v>0.0</v>
      </c>
      <c r="O262" s="20">
        <v>0.0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18">
        <v>46025.65314421296</v>
      </c>
      <c r="B263" s="19">
        <v>191.0</v>
      </c>
      <c r="C263" s="19" t="s">
        <v>54</v>
      </c>
      <c r="D263" s="19" t="s">
        <v>6</v>
      </c>
      <c r="E263" s="19">
        <v>7200.0</v>
      </c>
      <c r="F263" s="20">
        <v>4.0</v>
      </c>
      <c r="G263" s="20">
        <v>-42.8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20">
        <v>0.0</v>
      </c>
      <c r="O263" s="20">
        <v>0.0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18">
        <v>46025.65314421296</v>
      </c>
      <c r="B264" s="19">
        <v>191.0</v>
      </c>
      <c r="C264" s="19" t="s">
        <v>55</v>
      </c>
      <c r="D264" s="19" t="s">
        <v>37</v>
      </c>
      <c r="E264" s="19">
        <v>32800.0</v>
      </c>
      <c r="F264" s="20">
        <v>1.0</v>
      </c>
      <c r="G264" s="20">
        <v>42.8</v>
      </c>
      <c r="I264" s="6">
        <v>0.0</v>
      </c>
      <c r="J264" s="6">
        <v>1.0</v>
      </c>
      <c r="K264" s="6">
        <v>0.0</v>
      </c>
      <c r="L264" s="6">
        <v>0.0</v>
      </c>
      <c r="M264" s="6">
        <v>0.0</v>
      </c>
      <c r="N264" s="20">
        <v>0.0</v>
      </c>
      <c r="O264" s="20">
        <v>0.0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18">
        <v>46025.65314421296</v>
      </c>
      <c r="B265" s="19">
        <v>191.0</v>
      </c>
      <c r="C265" s="19" t="s">
        <v>56</v>
      </c>
      <c r="D265" s="19" t="s">
        <v>8</v>
      </c>
      <c r="E265" s="19">
        <v>28300.0</v>
      </c>
      <c r="F265" s="20">
        <v>3.0</v>
      </c>
      <c r="G265" s="20">
        <v>-11.7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20">
        <v>0.0</v>
      </c>
      <c r="O265" s="20">
        <v>0.0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18">
        <v>46025.63124673611</v>
      </c>
      <c r="B266" s="19">
        <v>190.0</v>
      </c>
      <c r="C266" s="19" t="s">
        <v>53</v>
      </c>
      <c r="D266" s="19" t="s">
        <v>36</v>
      </c>
      <c r="E266" s="19">
        <v>36100.0</v>
      </c>
      <c r="F266" s="20">
        <v>2.0</v>
      </c>
      <c r="G266" s="20">
        <v>16.1</v>
      </c>
      <c r="I266" s="6">
        <v>0.0</v>
      </c>
      <c r="J266" s="6">
        <v>1.0</v>
      </c>
      <c r="K266" s="6">
        <v>0.0</v>
      </c>
      <c r="L266" s="6">
        <v>0.0</v>
      </c>
      <c r="M266" s="6">
        <v>0.0</v>
      </c>
      <c r="N266" s="20">
        <v>0.0</v>
      </c>
      <c r="O266" s="20">
        <v>0.0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18">
        <v>46025.63124673611</v>
      </c>
      <c r="B267" s="19">
        <v>190.0</v>
      </c>
      <c r="C267" s="19" t="s">
        <v>54</v>
      </c>
      <c r="D267" s="19" t="s">
        <v>7</v>
      </c>
      <c r="E267" s="19">
        <v>2700.0</v>
      </c>
      <c r="F267" s="20">
        <v>4.0</v>
      </c>
      <c r="G267" s="20">
        <v>-47.3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20">
        <v>0.0</v>
      </c>
      <c r="O267" s="20">
        <v>0.0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18">
        <v>46025.63124673611</v>
      </c>
      <c r="B268" s="19">
        <v>190.0</v>
      </c>
      <c r="C268" s="19" t="s">
        <v>55</v>
      </c>
      <c r="D268" s="19" t="s">
        <v>11</v>
      </c>
      <c r="E268" s="19">
        <v>14300.0</v>
      </c>
      <c r="F268" s="20">
        <v>3.0</v>
      </c>
      <c r="G268" s="20">
        <v>-25.7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20">
        <v>0.0</v>
      </c>
      <c r="O268" s="20">
        <v>0.0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18">
        <v>46025.63124673611</v>
      </c>
      <c r="B269" s="19">
        <v>190.0</v>
      </c>
      <c r="C269" s="19" t="s">
        <v>56</v>
      </c>
      <c r="D269" s="19" t="s">
        <v>15</v>
      </c>
      <c r="E269" s="19">
        <v>46900.0</v>
      </c>
      <c r="F269" s="20">
        <v>1.0</v>
      </c>
      <c r="G269" s="20">
        <v>56.9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20">
        <v>0.0</v>
      </c>
      <c r="O269" s="20">
        <v>0.0</v>
      </c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18">
        <v>46025.579964351855</v>
      </c>
      <c r="B270" s="19">
        <v>189.0</v>
      </c>
      <c r="C270" s="19" t="s">
        <v>53</v>
      </c>
      <c r="D270" s="19" t="s">
        <v>36</v>
      </c>
      <c r="E270" s="19">
        <v>8800.0</v>
      </c>
      <c r="F270" s="20">
        <v>4.0</v>
      </c>
      <c r="G270" s="20">
        <v>-41.2</v>
      </c>
      <c r="I270" s="6">
        <v>1.0</v>
      </c>
      <c r="J270" s="6">
        <v>0.0</v>
      </c>
      <c r="K270" s="6">
        <v>0.0</v>
      </c>
      <c r="L270" s="6">
        <v>0.0</v>
      </c>
      <c r="M270" s="6">
        <v>0.0</v>
      </c>
      <c r="N270" s="20">
        <v>0.0</v>
      </c>
      <c r="O270" s="20">
        <v>0.0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18">
        <v>46025.579964351855</v>
      </c>
      <c r="B271" s="19">
        <v>189.0</v>
      </c>
      <c r="C271" s="19" t="s">
        <v>54</v>
      </c>
      <c r="D271" s="19" t="s">
        <v>6</v>
      </c>
      <c r="E271" s="19">
        <v>30400.0</v>
      </c>
      <c r="F271" s="20">
        <v>2.0</v>
      </c>
      <c r="G271" s="20">
        <v>10.4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20">
        <v>0.0</v>
      </c>
      <c r="O271" s="20">
        <v>0.0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18">
        <v>46025.579964351855</v>
      </c>
      <c r="B272" s="19">
        <v>189.0</v>
      </c>
      <c r="C272" s="19" t="s">
        <v>55</v>
      </c>
      <c r="D272" s="19" t="s">
        <v>37</v>
      </c>
      <c r="E272" s="19">
        <v>45700.0</v>
      </c>
      <c r="F272" s="20">
        <v>1.0</v>
      </c>
      <c r="G272" s="20">
        <v>55.7</v>
      </c>
      <c r="I272" s="6">
        <v>1.0</v>
      </c>
      <c r="J272" s="6">
        <v>0.0</v>
      </c>
      <c r="K272" s="6">
        <v>0.0</v>
      </c>
      <c r="L272" s="6">
        <v>0.0</v>
      </c>
      <c r="M272" s="6">
        <v>0.0</v>
      </c>
      <c r="N272" s="20">
        <v>0.0</v>
      </c>
      <c r="O272" s="20">
        <v>0.0</v>
      </c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18">
        <v>46025.579964351855</v>
      </c>
      <c r="B273" s="19">
        <v>189.0</v>
      </c>
      <c r="C273" s="19" t="s">
        <v>56</v>
      </c>
      <c r="D273" s="19" t="s">
        <v>7</v>
      </c>
      <c r="E273" s="19">
        <v>15100.0</v>
      </c>
      <c r="F273" s="20">
        <v>3.0</v>
      </c>
      <c r="G273" s="20">
        <v>-24.9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20">
        <v>0.0</v>
      </c>
      <c r="O273" s="20">
        <v>0.0</v>
      </c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18">
        <v>46025.56666181713</v>
      </c>
      <c r="B274" s="19">
        <v>188.0</v>
      </c>
      <c r="C274" s="19" t="s">
        <v>53</v>
      </c>
      <c r="D274" s="19" t="s">
        <v>11</v>
      </c>
      <c r="E274" s="19">
        <v>41300.0</v>
      </c>
      <c r="F274" s="20">
        <v>1.0</v>
      </c>
      <c r="G274" s="20">
        <v>51.3</v>
      </c>
      <c r="I274" s="6">
        <v>0.0</v>
      </c>
      <c r="J274" s="6">
        <v>0.0</v>
      </c>
      <c r="K274" s="6">
        <v>1.0</v>
      </c>
      <c r="L274" s="6">
        <v>0.0</v>
      </c>
      <c r="M274" s="6">
        <v>0.0</v>
      </c>
      <c r="N274" s="20">
        <v>0.0</v>
      </c>
      <c r="O274" s="20">
        <v>0.0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18">
        <v>46025.56666181713</v>
      </c>
      <c r="B275" s="19">
        <v>188.0</v>
      </c>
      <c r="C275" s="19" t="s">
        <v>54</v>
      </c>
      <c r="D275" s="19" t="s">
        <v>8</v>
      </c>
      <c r="E275" s="19">
        <v>24100.0</v>
      </c>
      <c r="F275" s="20">
        <v>2.0</v>
      </c>
      <c r="G275" s="20">
        <v>4.1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20">
        <v>0.0</v>
      </c>
      <c r="O275" s="20">
        <v>0.0</v>
      </c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18">
        <v>46025.56666181713</v>
      </c>
      <c r="B276" s="19">
        <v>188.0</v>
      </c>
      <c r="C276" s="19" t="s">
        <v>55</v>
      </c>
      <c r="D276" s="19" t="s">
        <v>5</v>
      </c>
      <c r="E276" s="19">
        <v>10600.0</v>
      </c>
      <c r="F276" s="20">
        <v>4.0</v>
      </c>
      <c r="G276" s="20">
        <v>-39.4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20">
        <v>0.0</v>
      </c>
      <c r="O276" s="20">
        <v>0.0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18">
        <v>46025.56666181713</v>
      </c>
      <c r="B277" s="19">
        <v>188.0</v>
      </c>
      <c r="C277" s="19" t="s">
        <v>56</v>
      </c>
      <c r="D277" s="19" t="s">
        <v>15</v>
      </c>
      <c r="E277" s="19">
        <v>24000.0</v>
      </c>
      <c r="F277" s="20">
        <v>3.0</v>
      </c>
      <c r="G277" s="20">
        <v>-16.0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20">
        <v>0.0</v>
      </c>
      <c r="O277" s="20">
        <v>0.0</v>
      </c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18">
        <v>46020.04894263889</v>
      </c>
      <c r="B278" s="19">
        <v>187.0</v>
      </c>
      <c r="C278" s="19" t="s">
        <v>53</v>
      </c>
      <c r="D278" s="19" t="s">
        <v>6</v>
      </c>
      <c r="E278" s="19">
        <v>55700.0</v>
      </c>
      <c r="F278" s="20">
        <v>1.0</v>
      </c>
      <c r="G278" s="20">
        <v>65.7</v>
      </c>
      <c r="I278" s="6">
        <v>1.0</v>
      </c>
      <c r="J278" s="6">
        <v>1.0</v>
      </c>
      <c r="K278" s="6">
        <v>0.0</v>
      </c>
      <c r="L278" s="6">
        <v>0.0</v>
      </c>
      <c r="M278" s="6">
        <v>0.0</v>
      </c>
      <c r="N278" s="20">
        <v>0.0</v>
      </c>
      <c r="O278" s="20">
        <v>0.0</v>
      </c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18">
        <v>46020.04894263889</v>
      </c>
      <c r="B279" s="19">
        <v>187.0</v>
      </c>
      <c r="C279" s="19" t="s">
        <v>54</v>
      </c>
      <c r="D279" s="19" t="s">
        <v>31</v>
      </c>
      <c r="E279" s="19">
        <v>28800.0</v>
      </c>
      <c r="F279" s="20">
        <v>2.0</v>
      </c>
      <c r="G279" s="20">
        <v>8.8</v>
      </c>
      <c r="I279" s="6">
        <v>1.0</v>
      </c>
      <c r="J279" s="6">
        <v>0.0</v>
      </c>
      <c r="K279" s="6">
        <v>0.0</v>
      </c>
      <c r="L279" s="6">
        <v>0.0</v>
      </c>
      <c r="M279" s="6">
        <v>0.0</v>
      </c>
      <c r="N279" s="20">
        <v>0.0</v>
      </c>
      <c r="O279" s="20">
        <v>0.0</v>
      </c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18">
        <v>46020.04894263889</v>
      </c>
      <c r="B280" s="19">
        <v>187.0</v>
      </c>
      <c r="C280" s="19" t="s">
        <v>55</v>
      </c>
      <c r="D280" s="19" t="s">
        <v>7</v>
      </c>
      <c r="E280" s="19">
        <v>17200.0</v>
      </c>
      <c r="F280" s="20">
        <v>3.0</v>
      </c>
      <c r="G280" s="20">
        <v>-22.8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20">
        <v>0.0</v>
      </c>
      <c r="O280" s="20">
        <v>0.0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18">
        <v>46020.04894263889</v>
      </c>
      <c r="B281" s="19">
        <v>187.0</v>
      </c>
      <c r="C281" s="19" t="s">
        <v>56</v>
      </c>
      <c r="D281" s="19" t="s">
        <v>15</v>
      </c>
      <c r="E281" s="19">
        <v>-1700.0</v>
      </c>
      <c r="F281" s="20">
        <v>4.0</v>
      </c>
      <c r="G281" s="20">
        <v>-51.7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20">
        <v>0.0</v>
      </c>
      <c r="O281" s="20">
        <v>0.0</v>
      </c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18">
        <v>46020.048473726856</v>
      </c>
      <c r="B282" s="19">
        <v>186.0</v>
      </c>
      <c r="C282" s="19" t="s">
        <v>53</v>
      </c>
      <c r="D282" s="19" t="s">
        <v>7</v>
      </c>
      <c r="E282" s="19">
        <v>44800.0</v>
      </c>
      <c r="F282" s="20">
        <v>1.0</v>
      </c>
      <c r="G282" s="20">
        <v>54.8</v>
      </c>
      <c r="I282" s="6">
        <v>1.0</v>
      </c>
      <c r="J282" s="6">
        <v>0.0</v>
      </c>
      <c r="K282" s="6">
        <v>0.0</v>
      </c>
      <c r="L282" s="6">
        <v>0.0</v>
      </c>
      <c r="M282" s="6">
        <v>0.0</v>
      </c>
      <c r="N282" s="20">
        <v>0.0</v>
      </c>
      <c r="O282" s="20">
        <v>0.0</v>
      </c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18">
        <v>46020.048473726856</v>
      </c>
      <c r="B283" s="19">
        <v>186.0</v>
      </c>
      <c r="C283" s="19" t="s">
        <v>54</v>
      </c>
      <c r="D283" s="19" t="s">
        <v>15</v>
      </c>
      <c r="E283" s="19">
        <v>38800.0</v>
      </c>
      <c r="F283" s="20">
        <v>2.0</v>
      </c>
      <c r="G283" s="20">
        <v>18.8</v>
      </c>
      <c r="I283" s="6">
        <v>0.0</v>
      </c>
      <c r="J283" s="6">
        <v>1.0</v>
      </c>
      <c r="K283" s="6">
        <v>0.0</v>
      </c>
      <c r="L283" s="6">
        <v>0.0</v>
      </c>
      <c r="M283" s="6">
        <v>0.0</v>
      </c>
      <c r="N283" s="20">
        <v>0.0</v>
      </c>
      <c r="O283" s="20">
        <v>0.0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18">
        <v>46020.048473726856</v>
      </c>
      <c r="B284" s="19">
        <v>186.0</v>
      </c>
      <c r="C284" s="19" t="s">
        <v>55</v>
      </c>
      <c r="D284" s="19" t="s">
        <v>6</v>
      </c>
      <c r="E284" s="19">
        <v>-7300.0</v>
      </c>
      <c r="F284" s="20">
        <v>4.0</v>
      </c>
      <c r="G284" s="20">
        <v>-57.3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20">
        <v>0.0</v>
      </c>
      <c r="O284" s="20">
        <v>0.0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18">
        <v>46020.048473726856</v>
      </c>
      <c r="B285" s="19">
        <v>186.0</v>
      </c>
      <c r="C285" s="19" t="s">
        <v>56</v>
      </c>
      <c r="D285" s="19" t="s">
        <v>31</v>
      </c>
      <c r="E285" s="19">
        <v>23700.0</v>
      </c>
      <c r="F285" s="20">
        <v>3.0</v>
      </c>
      <c r="G285" s="20">
        <v>-16.3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20">
        <v>0.0</v>
      </c>
      <c r="O285" s="20">
        <v>0.0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18">
        <v>46020.04752179398</v>
      </c>
      <c r="B286" s="19">
        <v>185.0</v>
      </c>
      <c r="C286" s="19" t="s">
        <v>53</v>
      </c>
      <c r="D286" s="19" t="s">
        <v>7</v>
      </c>
      <c r="E286" s="19">
        <v>40700.0</v>
      </c>
      <c r="F286" s="20">
        <v>1.0</v>
      </c>
      <c r="G286" s="20">
        <v>50.7</v>
      </c>
      <c r="I286" s="6">
        <v>2.0</v>
      </c>
      <c r="J286" s="6">
        <v>0.0</v>
      </c>
      <c r="K286" s="6">
        <v>0.0</v>
      </c>
      <c r="L286" s="6">
        <v>0.0</v>
      </c>
      <c r="M286" s="6">
        <v>0.0</v>
      </c>
      <c r="N286" s="20">
        <v>0.0</v>
      </c>
      <c r="O286" s="20">
        <v>0.0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18">
        <v>46020.04752179398</v>
      </c>
      <c r="B287" s="19">
        <v>185.0</v>
      </c>
      <c r="C287" s="19" t="s">
        <v>54</v>
      </c>
      <c r="D287" s="19" t="s">
        <v>6</v>
      </c>
      <c r="E287" s="19">
        <v>34600.0</v>
      </c>
      <c r="F287" s="20">
        <v>2.0</v>
      </c>
      <c r="G287" s="20">
        <v>14.6</v>
      </c>
      <c r="I287" s="6">
        <v>1.0</v>
      </c>
      <c r="J287" s="6">
        <v>0.0</v>
      </c>
      <c r="K287" s="6">
        <v>0.0</v>
      </c>
      <c r="L287" s="6">
        <v>0.0</v>
      </c>
      <c r="M287" s="6">
        <v>0.0</v>
      </c>
      <c r="N287" s="20">
        <v>0.0</v>
      </c>
      <c r="O287" s="20">
        <v>0.0</v>
      </c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18">
        <v>46020.04752179398</v>
      </c>
      <c r="B288" s="19">
        <v>185.0</v>
      </c>
      <c r="C288" s="19" t="s">
        <v>55</v>
      </c>
      <c r="D288" s="19" t="s">
        <v>31</v>
      </c>
      <c r="E288" s="19">
        <v>24300.0</v>
      </c>
      <c r="F288" s="20">
        <v>3.0</v>
      </c>
      <c r="G288" s="20">
        <v>-15.7</v>
      </c>
      <c r="I288" s="6">
        <v>0.0</v>
      </c>
      <c r="J288" s="6">
        <v>1.0</v>
      </c>
      <c r="K288" s="6">
        <v>0.0</v>
      </c>
      <c r="L288" s="6">
        <v>0.0</v>
      </c>
      <c r="M288" s="6">
        <v>0.0</v>
      </c>
      <c r="N288" s="20">
        <v>0.0</v>
      </c>
      <c r="O288" s="20">
        <v>0.0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18">
        <v>46020.04752179398</v>
      </c>
      <c r="B289" s="19">
        <v>185.0</v>
      </c>
      <c r="C289" s="19" t="s">
        <v>56</v>
      </c>
      <c r="D289" s="19" t="s">
        <v>15</v>
      </c>
      <c r="E289" s="19">
        <v>400.0</v>
      </c>
      <c r="F289" s="20">
        <v>4.0</v>
      </c>
      <c r="G289" s="20">
        <v>-49.6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20">
        <v>0.0</v>
      </c>
      <c r="O289" s="20">
        <v>0.0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18">
        <v>46020.04703443287</v>
      </c>
      <c r="B290" s="19">
        <v>184.0</v>
      </c>
      <c r="C290" s="19" t="s">
        <v>53</v>
      </c>
      <c r="D290" s="19" t="s">
        <v>7</v>
      </c>
      <c r="E290" s="19">
        <v>52200.0</v>
      </c>
      <c r="F290" s="20">
        <v>1.0</v>
      </c>
      <c r="G290" s="20">
        <v>62.2</v>
      </c>
      <c r="I290" s="6">
        <v>0.0</v>
      </c>
      <c r="J290" s="6">
        <v>1.0</v>
      </c>
      <c r="K290" s="6">
        <v>0.0</v>
      </c>
      <c r="L290" s="6">
        <v>0.0</v>
      </c>
      <c r="M290" s="6">
        <v>0.0</v>
      </c>
      <c r="N290" s="20">
        <v>0.0</v>
      </c>
      <c r="O290" s="20">
        <v>0.0</v>
      </c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18">
        <v>46020.04703443287</v>
      </c>
      <c r="B291" s="19">
        <v>184.0</v>
      </c>
      <c r="C291" s="19" t="s">
        <v>54</v>
      </c>
      <c r="D291" s="19" t="s">
        <v>6</v>
      </c>
      <c r="E291" s="19">
        <v>23500.0</v>
      </c>
      <c r="F291" s="20">
        <v>3.0</v>
      </c>
      <c r="G291" s="20">
        <v>-16.5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20">
        <v>0.0</v>
      </c>
      <c r="O291" s="20">
        <v>0.0</v>
      </c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18">
        <v>46020.04703443287</v>
      </c>
      <c r="B292" s="19">
        <v>184.0</v>
      </c>
      <c r="C292" s="19" t="s">
        <v>55</v>
      </c>
      <c r="D292" s="19" t="s">
        <v>15</v>
      </c>
      <c r="E292" s="19">
        <v>-2200.0</v>
      </c>
      <c r="F292" s="20">
        <v>4.0</v>
      </c>
      <c r="G292" s="20">
        <v>-52.2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20">
        <v>0.0</v>
      </c>
      <c r="O292" s="20">
        <v>0.0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18">
        <v>46020.04703443287</v>
      </c>
      <c r="B293" s="19">
        <v>184.0</v>
      </c>
      <c r="C293" s="19" t="s">
        <v>56</v>
      </c>
      <c r="D293" s="19" t="s">
        <v>31</v>
      </c>
      <c r="E293" s="19">
        <v>26500.0</v>
      </c>
      <c r="F293" s="20">
        <v>2.0</v>
      </c>
      <c r="G293" s="20">
        <v>6.5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20">
        <v>0.0</v>
      </c>
      <c r="O293" s="20">
        <v>0.0</v>
      </c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18">
        <v>46020.046635289356</v>
      </c>
      <c r="B294" s="19">
        <v>183.0</v>
      </c>
      <c r="C294" s="19" t="s">
        <v>53</v>
      </c>
      <c r="D294" s="19" t="s">
        <v>6</v>
      </c>
      <c r="E294" s="19">
        <v>46600.0</v>
      </c>
      <c r="F294" s="20">
        <v>1.0</v>
      </c>
      <c r="G294" s="20">
        <v>56.6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20">
        <v>0.0</v>
      </c>
      <c r="O294" s="20">
        <v>0.0</v>
      </c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18">
        <v>46020.046635289356</v>
      </c>
      <c r="B295" s="19">
        <v>183.0</v>
      </c>
      <c r="C295" s="19" t="s">
        <v>54</v>
      </c>
      <c r="D295" s="19" t="s">
        <v>7</v>
      </c>
      <c r="E295" s="19">
        <v>16400.0</v>
      </c>
      <c r="F295" s="20">
        <v>3.0</v>
      </c>
      <c r="G295" s="20">
        <v>-23.6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20">
        <v>0.0</v>
      </c>
      <c r="O295" s="20">
        <v>0.0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18">
        <v>46020.046635289356</v>
      </c>
      <c r="B296" s="19">
        <v>183.0</v>
      </c>
      <c r="C296" s="19" t="s">
        <v>55</v>
      </c>
      <c r="D296" s="19" t="s">
        <v>31</v>
      </c>
      <c r="E296" s="19">
        <v>38800.0</v>
      </c>
      <c r="F296" s="20">
        <v>2.0</v>
      </c>
      <c r="G296" s="20">
        <v>18.8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20">
        <v>0.0</v>
      </c>
      <c r="O296" s="20">
        <v>0.0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18">
        <v>46020.046635289356</v>
      </c>
      <c r="B297" s="19">
        <v>183.0</v>
      </c>
      <c r="C297" s="19" t="s">
        <v>56</v>
      </c>
      <c r="D297" s="19" t="s">
        <v>15</v>
      </c>
      <c r="E297" s="19">
        <v>-1800.0</v>
      </c>
      <c r="F297" s="20">
        <v>4.0</v>
      </c>
      <c r="G297" s="20">
        <v>-51.8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20">
        <v>0.0</v>
      </c>
      <c r="O297" s="20">
        <v>0.0</v>
      </c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18">
        <v>46020.046186886575</v>
      </c>
      <c r="B298" s="19">
        <v>182.0</v>
      </c>
      <c r="C298" s="19" t="s">
        <v>53</v>
      </c>
      <c r="D298" s="19" t="s">
        <v>15</v>
      </c>
      <c r="E298" s="19">
        <v>40100.0</v>
      </c>
      <c r="F298" s="20">
        <v>1.0</v>
      </c>
      <c r="G298" s="20">
        <v>50.1</v>
      </c>
      <c r="I298" s="6">
        <v>0.0</v>
      </c>
      <c r="J298" s="6">
        <v>1.0</v>
      </c>
      <c r="K298" s="6">
        <v>0.0</v>
      </c>
      <c r="L298" s="6">
        <v>0.0</v>
      </c>
      <c r="M298" s="6">
        <v>0.0</v>
      </c>
      <c r="N298" s="20">
        <v>0.0</v>
      </c>
      <c r="O298" s="20">
        <v>0.0</v>
      </c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18">
        <v>46020.046186886575</v>
      </c>
      <c r="B299" s="19">
        <v>182.0</v>
      </c>
      <c r="C299" s="19" t="s">
        <v>54</v>
      </c>
      <c r="D299" s="19" t="s">
        <v>6</v>
      </c>
      <c r="E299" s="19">
        <v>17900.0</v>
      </c>
      <c r="F299" s="20">
        <v>3.0</v>
      </c>
      <c r="G299" s="20">
        <v>-22.1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20">
        <v>0.0</v>
      </c>
      <c r="O299" s="20">
        <v>0.0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18">
        <v>46020.046186886575</v>
      </c>
      <c r="B300" s="19">
        <v>182.0</v>
      </c>
      <c r="C300" s="19" t="s">
        <v>55</v>
      </c>
      <c r="D300" s="19" t="s">
        <v>7</v>
      </c>
      <c r="E300" s="19">
        <v>36300.0</v>
      </c>
      <c r="F300" s="20">
        <v>2.0</v>
      </c>
      <c r="G300" s="20">
        <v>16.3</v>
      </c>
      <c r="I300" s="6">
        <v>0.0</v>
      </c>
      <c r="J300" s="6">
        <v>1.0</v>
      </c>
      <c r="K300" s="6">
        <v>0.0</v>
      </c>
      <c r="L300" s="6">
        <v>0.0</v>
      </c>
      <c r="M300" s="6">
        <v>0.0</v>
      </c>
      <c r="N300" s="20">
        <v>0.0</v>
      </c>
      <c r="O300" s="20">
        <v>0.0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18">
        <v>46020.046186886575</v>
      </c>
      <c r="B301" s="19">
        <v>182.0</v>
      </c>
      <c r="C301" s="19" t="s">
        <v>56</v>
      </c>
      <c r="D301" s="19" t="s">
        <v>31</v>
      </c>
      <c r="E301" s="19">
        <v>5700.0</v>
      </c>
      <c r="F301" s="20">
        <v>4.0</v>
      </c>
      <c r="G301" s="20">
        <v>-44.3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20">
        <v>0.0</v>
      </c>
      <c r="O301" s="20">
        <v>0.0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18">
        <v>46020.04561591435</v>
      </c>
      <c r="B302" s="19">
        <v>181.0</v>
      </c>
      <c r="C302" s="19" t="s">
        <v>53</v>
      </c>
      <c r="D302" s="19" t="s">
        <v>6</v>
      </c>
      <c r="E302" s="19">
        <v>25500.0</v>
      </c>
      <c r="F302" s="20">
        <v>3.0</v>
      </c>
      <c r="G302" s="20">
        <v>-14.5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20">
        <v>0.0</v>
      </c>
      <c r="O302" s="20">
        <v>0.0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18">
        <v>46020.04561591435</v>
      </c>
      <c r="B303" s="19">
        <v>181.0</v>
      </c>
      <c r="C303" s="19" t="s">
        <v>54</v>
      </c>
      <c r="D303" s="19" t="s">
        <v>7</v>
      </c>
      <c r="E303" s="19">
        <v>-500.0</v>
      </c>
      <c r="F303" s="20">
        <v>4.0</v>
      </c>
      <c r="G303" s="20">
        <v>-50.5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20">
        <v>0.0</v>
      </c>
      <c r="O303" s="20">
        <v>0.0</v>
      </c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18">
        <v>46020.04561591435</v>
      </c>
      <c r="B304" s="19">
        <v>181.0</v>
      </c>
      <c r="C304" s="19" t="s">
        <v>55</v>
      </c>
      <c r="D304" s="19" t="s">
        <v>31</v>
      </c>
      <c r="E304" s="19">
        <v>44000.0</v>
      </c>
      <c r="F304" s="20">
        <v>1.0</v>
      </c>
      <c r="G304" s="20">
        <v>54.0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20">
        <v>0.0</v>
      </c>
      <c r="O304" s="20">
        <v>0.0</v>
      </c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18">
        <v>46020.04561591435</v>
      </c>
      <c r="B305" s="19">
        <v>181.0</v>
      </c>
      <c r="C305" s="19" t="s">
        <v>56</v>
      </c>
      <c r="D305" s="19" t="s">
        <v>15</v>
      </c>
      <c r="E305" s="19">
        <v>31000.0</v>
      </c>
      <c r="F305" s="20">
        <v>2.0</v>
      </c>
      <c r="G305" s="20">
        <v>11.0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20">
        <v>0.0</v>
      </c>
      <c r="O305" s="20">
        <v>0.0</v>
      </c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18">
        <v>46020.04496322917</v>
      </c>
      <c r="B306" s="19">
        <v>180.0</v>
      </c>
      <c r="C306" s="19" t="s">
        <v>53</v>
      </c>
      <c r="D306" s="19" t="s">
        <v>15</v>
      </c>
      <c r="E306" s="19">
        <v>29900.0</v>
      </c>
      <c r="F306" s="20">
        <v>2.0</v>
      </c>
      <c r="G306" s="20">
        <v>9.9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20">
        <v>0.0</v>
      </c>
      <c r="O306" s="20">
        <v>0.0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18">
        <v>46020.04496322917</v>
      </c>
      <c r="B307" s="19">
        <v>180.0</v>
      </c>
      <c r="C307" s="19" t="s">
        <v>54</v>
      </c>
      <c r="D307" s="19" t="s">
        <v>6</v>
      </c>
      <c r="E307" s="19">
        <v>21300.0</v>
      </c>
      <c r="F307" s="20">
        <v>3.0</v>
      </c>
      <c r="G307" s="20">
        <v>-18.7</v>
      </c>
      <c r="I307" s="6">
        <v>1.0</v>
      </c>
      <c r="J307" s="6">
        <v>0.0</v>
      </c>
      <c r="K307" s="6">
        <v>0.0</v>
      </c>
      <c r="L307" s="6">
        <v>0.0</v>
      </c>
      <c r="M307" s="6">
        <v>0.0</v>
      </c>
      <c r="N307" s="20">
        <v>0.0</v>
      </c>
      <c r="O307" s="20">
        <v>0.0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18">
        <v>46020.04496322917</v>
      </c>
      <c r="B308" s="19">
        <v>180.0</v>
      </c>
      <c r="C308" s="19" t="s">
        <v>55</v>
      </c>
      <c r="D308" s="19" t="s">
        <v>7</v>
      </c>
      <c r="E308" s="19">
        <v>33400.0</v>
      </c>
      <c r="F308" s="20">
        <v>1.0</v>
      </c>
      <c r="G308" s="20">
        <v>43.4</v>
      </c>
      <c r="I308" s="6">
        <v>0.0</v>
      </c>
      <c r="J308" s="6">
        <v>1.0</v>
      </c>
      <c r="K308" s="6">
        <v>0.0</v>
      </c>
      <c r="L308" s="6">
        <v>0.0</v>
      </c>
      <c r="M308" s="6">
        <v>0.0</v>
      </c>
      <c r="N308" s="20">
        <v>0.0</v>
      </c>
      <c r="O308" s="20">
        <v>0.0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18">
        <v>46020.04496322917</v>
      </c>
      <c r="B309" s="19">
        <v>180.0</v>
      </c>
      <c r="C309" s="19" t="s">
        <v>56</v>
      </c>
      <c r="D309" s="19" t="s">
        <v>31</v>
      </c>
      <c r="E309" s="19">
        <v>15400.0</v>
      </c>
      <c r="F309" s="20">
        <v>4.0</v>
      </c>
      <c r="G309" s="20">
        <v>-34.6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20">
        <v>0.0</v>
      </c>
      <c r="O309" s="20">
        <v>0.0</v>
      </c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18">
        <v>46020.04448625</v>
      </c>
      <c r="B310" s="19">
        <v>179.0</v>
      </c>
      <c r="C310" s="19" t="s">
        <v>53</v>
      </c>
      <c r="D310" s="19" t="s">
        <v>7</v>
      </c>
      <c r="E310" s="19">
        <v>39500.0</v>
      </c>
      <c r="F310" s="20">
        <v>2.0</v>
      </c>
      <c r="G310" s="20">
        <v>19.5</v>
      </c>
      <c r="I310" s="6">
        <v>1.0</v>
      </c>
      <c r="J310" s="6">
        <v>1.0</v>
      </c>
      <c r="K310" s="6">
        <v>0.0</v>
      </c>
      <c r="L310" s="6">
        <v>0.0</v>
      </c>
      <c r="M310" s="6">
        <v>0.0</v>
      </c>
      <c r="N310" s="20">
        <v>0.0</v>
      </c>
      <c r="O310" s="20">
        <v>0.0</v>
      </c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18">
        <v>46020.04448625</v>
      </c>
      <c r="B311" s="19">
        <v>179.0</v>
      </c>
      <c r="C311" s="19" t="s">
        <v>54</v>
      </c>
      <c r="D311" s="19" t="s">
        <v>15</v>
      </c>
      <c r="E311" s="19">
        <v>16400.0</v>
      </c>
      <c r="F311" s="20">
        <v>3.0</v>
      </c>
      <c r="G311" s="20">
        <v>-23.6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  <c r="N311" s="20">
        <v>0.0</v>
      </c>
      <c r="O311" s="20">
        <v>0.0</v>
      </c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18">
        <v>46020.04448625</v>
      </c>
      <c r="B312" s="19">
        <v>179.0</v>
      </c>
      <c r="C312" s="19" t="s">
        <v>55</v>
      </c>
      <c r="D312" s="19" t="s">
        <v>31</v>
      </c>
      <c r="E312" s="19">
        <v>3100.0</v>
      </c>
      <c r="F312" s="20">
        <v>4.0</v>
      </c>
      <c r="G312" s="20">
        <v>-46.9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20">
        <v>0.0</v>
      </c>
      <c r="O312" s="20">
        <v>0.0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18">
        <v>46020.04448625</v>
      </c>
      <c r="B313" s="19">
        <v>179.0</v>
      </c>
      <c r="C313" s="19" t="s">
        <v>56</v>
      </c>
      <c r="D313" s="19" t="s">
        <v>6</v>
      </c>
      <c r="E313" s="19">
        <v>41000.0</v>
      </c>
      <c r="F313" s="20">
        <v>1.0</v>
      </c>
      <c r="G313" s="20">
        <v>51.0</v>
      </c>
      <c r="I313" s="6">
        <v>0.0</v>
      </c>
      <c r="J313" s="6">
        <v>1.0</v>
      </c>
      <c r="K313" s="6">
        <v>0.0</v>
      </c>
      <c r="L313" s="6">
        <v>0.0</v>
      </c>
      <c r="M313" s="6">
        <v>0.0</v>
      </c>
      <c r="N313" s="20">
        <v>0.0</v>
      </c>
      <c r="O313" s="20">
        <v>0.0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18">
        <v>46018.99009796296</v>
      </c>
      <c r="B314" s="19">
        <v>178.0</v>
      </c>
      <c r="C314" s="19" t="s">
        <v>53</v>
      </c>
      <c r="D314" s="19" t="s">
        <v>5</v>
      </c>
      <c r="E314" s="19">
        <v>9800.0</v>
      </c>
      <c r="F314" s="20">
        <v>3.0</v>
      </c>
      <c r="G314" s="20">
        <v>-30.2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  <c r="N314" s="20">
        <v>0.0</v>
      </c>
      <c r="O314" s="20">
        <v>0.0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18">
        <v>46018.99009796296</v>
      </c>
      <c r="B315" s="19">
        <v>178.0</v>
      </c>
      <c r="C315" s="19" t="s">
        <v>54</v>
      </c>
      <c r="D315" s="19" t="s">
        <v>9</v>
      </c>
      <c r="E315" s="19">
        <v>36400.0</v>
      </c>
      <c r="F315" s="20">
        <v>2.0</v>
      </c>
      <c r="G315" s="20">
        <v>16.4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20">
        <v>0.0</v>
      </c>
      <c r="O315" s="20">
        <v>0.0</v>
      </c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18">
        <v>46018.99009796296</v>
      </c>
      <c r="B316" s="19">
        <v>178.0</v>
      </c>
      <c r="C316" s="19" t="s">
        <v>55</v>
      </c>
      <c r="D316" s="19" t="s">
        <v>6</v>
      </c>
      <c r="E316" s="19">
        <v>44700.0</v>
      </c>
      <c r="F316" s="20">
        <v>1.0</v>
      </c>
      <c r="G316" s="20">
        <v>54.7</v>
      </c>
      <c r="I316" s="6">
        <v>0.0</v>
      </c>
      <c r="J316" s="6">
        <v>1.0</v>
      </c>
      <c r="K316" s="6">
        <v>0.0</v>
      </c>
      <c r="L316" s="6">
        <v>0.0</v>
      </c>
      <c r="M316" s="6">
        <v>0.0</v>
      </c>
      <c r="N316" s="20">
        <v>0.0</v>
      </c>
      <c r="O316" s="20">
        <v>0.0</v>
      </c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18">
        <v>46018.99009796296</v>
      </c>
      <c r="B317" s="19">
        <v>178.0</v>
      </c>
      <c r="C317" s="19" t="s">
        <v>56</v>
      </c>
      <c r="D317" s="19" t="s">
        <v>36</v>
      </c>
      <c r="E317" s="19">
        <v>9100.0</v>
      </c>
      <c r="F317" s="20">
        <v>4.0</v>
      </c>
      <c r="G317" s="20">
        <v>-40.9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  <c r="N317" s="20">
        <v>0.0</v>
      </c>
      <c r="O317" s="20">
        <v>0.0</v>
      </c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18">
        <v>46018.90233532408</v>
      </c>
      <c r="B318" s="19">
        <v>177.0</v>
      </c>
      <c r="C318" s="19" t="s">
        <v>53</v>
      </c>
      <c r="D318" s="19" t="s">
        <v>36</v>
      </c>
      <c r="E318" s="19">
        <v>12800.0</v>
      </c>
      <c r="F318" s="20">
        <v>3.0</v>
      </c>
      <c r="G318" s="20">
        <v>-27.2</v>
      </c>
      <c r="I318" s="6">
        <v>0.0</v>
      </c>
      <c r="J318" s="6">
        <v>1.0</v>
      </c>
      <c r="K318" s="6">
        <v>0.0</v>
      </c>
      <c r="L318" s="6">
        <v>0.0</v>
      </c>
      <c r="M318" s="6">
        <v>0.0</v>
      </c>
      <c r="N318" s="20">
        <v>0.0</v>
      </c>
      <c r="O318" s="20">
        <v>0.0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18">
        <v>46018.90233532408</v>
      </c>
      <c r="B319" s="19">
        <v>177.0</v>
      </c>
      <c r="C319" s="19" t="s">
        <v>54</v>
      </c>
      <c r="D319" s="19" t="s">
        <v>6</v>
      </c>
      <c r="E319" s="19">
        <v>43800.0</v>
      </c>
      <c r="F319" s="20">
        <v>1.0</v>
      </c>
      <c r="G319" s="20">
        <v>53.8</v>
      </c>
      <c r="I319" s="6">
        <v>0.0</v>
      </c>
      <c r="J319" s="6">
        <v>1.0</v>
      </c>
      <c r="K319" s="6">
        <v>0.0</v>
      </c>
      <c r="L319" s="6">
        <v>0.0</v>
      </c>
      <c r="M319" s="6">
        <v>0.0</v>
      </c>
      <c r="N319" s="20">
        <v>0.0</v>
      </c>
      <c r="O319" s="20">
        <v>0.0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18">
        <v>46018.90233532408</v>
      </c>
      <c r="B320" s="19">
        <v>177.0</v>
      </c>
      <c r="C320" s="19" t="s">
        <v>55</v>
      </c>
      <c r="D320" s="19" t="s">
        <v>5</v>
      </c>
      <c r="E320" s="19">
        <v>1500.0</v>
      </c>
      <c r="F320" s="20">
        <v>4.0</v>
      </c>
      <c r="G320" s="20">
        <v>-48.5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20">
        <v>0.0</v>
      </c>
      <c r="O320" s="20">
        <v>0.0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18">
        <v>46018.90233532408</v>
      </c>
      <c r="B321" s="19">
        <v>177.0</v>
      </c>
      <c r="C321" s="19" t="s">
        <v>56</v>
      </c>
      <c r="D321" s="19" t="s">
        <v>9</v>
      </c>
      <c r="E321" s="19">
        <v>41900.0</v>
      </c>
      <c r="F321" s="20">
        <v>2.0</v>
      </c>
      <c r="G321" s="20">
        <v>21.9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20">
        <v>0.0</v>
      </c>
      <c r="O321" s="20">
        <v>0.0</v>
      </c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18">
        <v>46018.83619199074</v>
      </c>
      <c r="B322" s="19">
        <v>176.0</v>
      </c>
      <c r="C322" s="19" t="s">
        <v>53</v>
      </c>
      <c r="D322" s="19" t="s">
        <v>5</v>
      </c>
      <c r="E322" s="19">
        <v>33100.0</v>
      </c>
      <c r="F322" s="20">
        <v>1.0</v>
      </c>
      <c r="G322" s="20">
        <v>43.1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20">
        <v>0.0</v>
      </c>
      <c r="O322" s="20">
        <v>0.0</v>
      </c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18">
        <v>46018.83619199074</v>
      </c>
      <c r="B323" s="19">
        <v>176.0</v>
      </c>
      <c r="C323" s="19" t="s">
        <v>54</v>
      </c>
      <c r="D323" s="19" t="s">
        <v>9</v>
      </c>
      <c r="E323" s="19">
        <v>11100.0</v>
      </c>
      <c r="F323" s="20">
        <v>4.0</v>
      </c>
      <c r="G323" s="20">
        <v>-38.9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20">
        <v>0.0</v>
      </c>
      <c r="O323" s="20">
        <v>0.0</v>
      </c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18">
        <v>46018.83619199074</v>
      </c>
      <c r="B324" s="19">
        <v>176.0</v>
      </c>
      <c r="C324" s="19" t="s">
        <v>55</v>
      </c>
      <c r="D324" s="19" t="s">
        <v>6</v>
      </c>
      <c r="E324" s="19">
        <v>24600.0</v>
      </c>
      <c r="F324" s="20">
        <v>3.0</v>
      </c>
      <c r="G324" s="20">
        <v>-15.4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20">
        <v>0.0</v>
      </c>
      <c r="O324" s="20">
        <v>0.0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18">
        <v>46018.83619199074</v>
      </c>
      <c r="B325" s="19">
        <v>176.0</v>
      </c>
      <c r="C325" s="19" t="s">
        <v>56</v>
      </c>
      <c r="D325" s="19" t="s">
        <v>36</v>
      </c>
      <c r="E325" s="19">
        <v>31200.0</v>
      </c>
      <c r="F325" s="20">
        <v>2.0</v>
      </c>
      <c r="G325" s="20">
        <v>11.2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20">
        <v>0.0</v>
      </c>
      <c r="O325" s="20">
        <v>0.0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18">
        <v>46018.75652314815</v>
      </c>
      <c r="B326" s="19">
        <v>175.0</v>
      </c>
      <c r="C326" s="19" t="s">
        <v>53</v>
      </c>
      <c r="D326" s="19" t="s">
        <v>5</v>
      </c>
      <c r="E326" s="19">
        <v>25700.0</v>
      </c>
      <c r="F326" s="20">
        <v>3.0</v>
      </c>
      <c r="G326" s="20">
        <v>-14.3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20">
        <v>0.0</v>
      </c>
      <c r="O326" s="20">
        <v>0.0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18">
        <v>46018.75652314815</v>
      </c>
      <c r="B327" s="19">
        <v>175.0</v>
      </c>
      <c r="C327" s="19" t="s">
        <v>54</v>
      </c>
      <c r="D327" s="19" t="s">
        <v>6</v>
      </c>
      <c r="E327" s="19">
        <v>39300.0</v>
      </c>
      <c r="F327" s="20">
        <v>1.0</v>
      </c>
      <c r="G327" s="20">
        <v>49.3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20">
        <v>0.0</v>
      </c>
      <c r="O327" s="20">
        <v>0.0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18">
        <v>46018.75652314815</v>
      </c>
      <c r="B328" s="19">
        <v>175.0</v>
      </c>
      <c r="C328" s="19" t="s">
        <v>55</v>
      </c>
      <c r="D328" s="19" t="s">
        <v>9</v>
      </c>
      <c r="E328" s="19">
        <v>38800.0</v>
      </c>
      <c r="F328" s="20">
        <v>2.0</v>
      </c>
      <c r="G328" s="20">
        <v>18.8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20">
        <v>0.0</v>
      </c>
      <c r="O328" s="20">
        <v>0.0</v>
      </c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18">
        <v>46018.75652314815</v>
      </c>
      <c r="B329" s="19">
        <v>175.0</v>
      </c>
      <c r="C329" s="19" t="s">
        <v>56</v>
      </c>
      <c r="D329" s="19" t="s">
        <v>36</v>
      </c>
      <c r="E329" s="19">
        <v>-3800.0</v>
      </c>
      <c r="F329" s="20">
        <v>4.0</v>
      </c>
      <c r="G329" s="20">
        <v>-53.8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20">
        <v>0.0</v>
      </c>
      <c r="O329" s="20">
        <v>0.0</v>
      </c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18">
        <v>46018.72218295139</v>
      </c>
      <c r="B330" s="19">
        <v>174.0</v>
      </c>
      <c r="C330" s="19" t="s">
        <v>53</v>
      </c>
      <c r="D330" s="19" t="s">
        <v>5</v>
      </c>
      <c r="E330" s="19">
        <v>50000.0</v>
      </c>
      <c r="F330" s="20">
        <v>1.0</v>
      </c>
      <c r="G330" s="20">
        <v>60.0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20">
        <v>0.0</v>
      </c>
      <c r="O330" s="20">
        <v>0.0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18">
        <v>46018.72218295139</v>
      </c>
      <c r="B331" s="19">
        <v>174.0</v>
      </c>
      <c r="C331" s="19" t="s">
        <v>54</v>
      </c>
      <c r="D331" s="19" t="s">
        <v>9</v>
      </c>
      <c r="E331" s="19">
        <v>20200.0</v>
      </c>
      <c r="F331" s="20">
        <v>3.0</v>
      </c>
      <c r="G331" s="20">
        <v>-19.8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20">
        <v>0.0</v>
      </c>
      <c r="O331" s="20">
        <v>0.0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18">
        <v>46018.72218295139</v>
      </c>
      <c r="B332" s="19">
        <v>174.0</v>
      </c>
      <c r="C332" s="19" t="s">
        <v>55</v>
      </c>
      <c r="D332" s="19" t="s">
        <v>6</v>
      </c>
      <c r="E332" s="19">
        <v>24100.0</v>
      </c>
      <c r="F332" s="20">
        <v>2.0</v>
      </c>
      <c r="G332" s="20">
        <v>4.1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20">
        <v>0.0</v>
      </c>
      <c r="O332" s="20">
        <v>0.0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18">
        <v>46018.72218295139</v>
      </c>
      <c r="B333" s="19">
        <v>174.0</v>
      </c>
      <c r="C333" s="19" t="s">
        <v>56</v>
      </c>
      <c r="D333" s="19" t="s">
        <v>36</v>
      </c>
      <c r="E333" s="19">
        <v>5700.0</v>
      </c>
      <c r="F333" s="20">
        <v>4.0</v>
      </c>
      <c r="G333" s="20">
        <v>-44.3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20">
        <v>0.0</v>
      </c>
      <c r="O333" s="20">
        <v>0.0</v>
      </c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18">
        <v>46018.66074537037</v>
      </c>
      <c r="B334" s="19">
        <v>173.0</v>
      </c>
      <c r="C334" s="19" t="s">
        <v>53</v>
      </c>
      <c r="D334" s="19" t="s">
        <v>9</v>
      </c>
      <c r="E334" s="19">
        <v>34300.0</v>
      </c>
      <c r="F334" s="20">
        <v>2.0</v>
      </c>
      <c r="G334" s="20">
        <v>14.3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  <c r="N334" s="20">
        <v>0.0</v>
      </c>
      <c r="O334" s="20">
        <v>0.0</v>
      </c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18">
        <v>46018.66074537037</v>
      </c>
      <c r="B335" s="19">
        <v>173.0</v>
      </c>
      <c r="C335" s="19" t="s">
        <v>54</v>
      </c>
      <c r="D335" s="19" t="s">
        <v>5</v>
      </c>
      <c r="E335" s="19">
        <v>7400.0</v>
      </c>
      <c r="F335" s="20">
        <v>4.0</v>
      </c>
      <c r="G335" s="20">
        <v>-42.6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  <c r="N335" s="20">
        <v>0.0</v>
      </c>
      <c r="O335" s="20">
        <v>0.0</v>
      </c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18">
        <v>46018.66074537037</v>
      </c>
      <c r="B336" s="19">
        <v>173.0</v>
      </c>
      <c r="C336" s="19" t="s">
        <v>55</v>
      </c>
      <c r="D336" s="19" t="s">
        <v>36</v>
      </c>
      <c r="E336" s="19">
        <v>22100.0</v>
      </c>
      <c r="F336" s="20">
        <v>3.0</v>
      </c>
      <c r="G336" s="20">
        <v>-17.9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  <c r="N336" s="20">
        <v>0.0</v>
      </c>
      <c r="O336" s="20">
        <v>0.0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18">
        <v>46018.66074537037</v>
      </c>
      <c r="B337" s="19">
        <v>173.0</v>
      </c>
      <c r="C337" s="19" t="s">
        <v>56</v>
      </c>
      <c r="D337" s="19" t="s">
        <v>6</v>
      </c>
      <c r="E337" s="19">
        <v>36200.0</v>
      </c>
      <c r="F337" s="20">
        <v>1.0</v>
      </c>
      <c r="G337" s="20">
        <v>46.2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20">
        <v>0.0</v>
      </c>
      <c r="O337" s="20">
        <v>0.0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18">
        <v>46018.60872458333</v>
      </c>
      <c r="B338" s="19">
        <v>172.0</v>
      </c>
      <c r="C338" s="19" t="s">
        <v>53</v>
      </c>
      <c r="D338" s="19" t="s">
        <v>9</v>
      </c>
      <c r="E338" s="19">
        <v>16000.0</v>
      </c>
      <c r="F338" s="20">
        <v>3.0</v>
      </c>
      <c r="G338" s="20">
        <v>-24.0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20">
        <v>0.0</v>
      </c>
      <c r="O338" s="20">
        <v>0.0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18">
        <v>46018.60872458333</v>
      </c>
      <c r="B339" s="19">
        <v>172.0</v>
      </c>
      <c r="C339" s="19" t="s">
        <v>54</v>
      </c>
      <c r="D339" s="19" t="s">
        <v>5</v>
      </c>
      <c r="E339" s="19">
        <v>19100.0</v>
      </c>
      <c r="F339" s="20">
        <v>2.0</v>
      </c>
      <c r="G339" s="20">
        <v>-0.9000000000000004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20">
        <v>0.0</v>
      </c>
      <c r="O339" s="20">
        <v>0.0</v>
      </c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18">
        <v>46018.60872458333</v>
      </c>
      <c r="B340" s="19">
        <v>172.0</v>
      </c>
      <c r="C340" s="19" t="s">
        <v>55</v>
      </c>
      <c r="D340" s="19" t="s">
        <v>6</v>
      </c>
      <c r="E340" s="19">
        <v>55200.0</v>
      </c>
      <c r="F340" s="20">
        <v>1.0</v>
      </c>
      <c r="G340" s="20">
        <v>65.2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20">
        <v>0.0</v>
      </c>
      <c r="O340" s="20">
        <v>0.0</v>
      </c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18">
        <v>46018.60872458333</v>
      </c>
      <c r="B341" s="19">
        <v>172.0</v>
      </c>
      <c r="C341" s="19" t="s">
        <v>56</v>
      </c>
      <c r="D341" s="19" t="s">
        <v>36</v>
      </c>
      <c r="E341" s="19">
        <v>9700.0</v>
      </c>
      <c r="F341" s="20">
        <v>4.0</v>
      </c>
      <c r="G341" s="20">
        <v>-40.3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20">
        <v>0.0</v>
      </c>
      <c r="O341" s="20">
        <v>0.0</v>
      </c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18">
        <v>46018.56809101852</v>
      </c>
      <c r="B342" s="19">
        <v>171.0</v>
      </c>
      <c r="C342" s="19" t="s">
        <v>53</v>
      </c>
      <c r="D342" s="19" t="s">
        <v>9</v>
      </c>
      <c r="E342" s="19">
        <v>9500.0</v>
      </c>
      <c r="F342" s="20">
        <v>3.0</v>
      </c>
      <c r="G342" s="20">
        <v>-30.5</v>
      </c>
      <c r="I342" s="6">
        <v>1.0</v>
      </c>
      <c r="J342" s="6">
        <v>0.0</v>
      </c>
      <c r="K342" s="6">
        <v>0.0</v>
      </c>
      <c r="L342" s="6">
        <v>0.0</v>
      </c>
      <c r="M342" s="6">
        <v>0.0</v>
      </c>
      <c r="N342" s="20">
        <v>0.0</v>
      </c>
      <c r="O342" s="20">
        <v>0.0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18">
        <v>46018.56809101852</v>
      </c>
      <c r="B343" s="19">
        <v>171.0</v>
      </c>
      <c r="C343" s="19" t="s">
        <v>54</v>
      </c>
      <c r="D343" s="19" t="s">
        <v>5</v>
      </c>
      <c r="E343" s="19">
        <v>62400.0</v>
      </c>
      <c r="F343" s="20">
        <v>1.0</v>
      </c>
      <c r="G343" s="20">
        <v>72.4</v>
      </c>
      <c r="I343" s="6">
        <v>0.0</v>
      </c>
      <c r="J343" s="6">
        <v>1.0</v>
      </c>
      <c r="K343" s="6">
        <v>1.0</v>
      </c>
      <c r="L343" s="6">
        <v>0.0</v>
      </c>
      <c r="M343" s="6">
        <v>0.0</v>
      </c>
      <c r="N343" s="20">
        <v>0.0</v>
      </c>
      <c r="O343" s="20">
        <v>0.0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18">
        <v>46018.56809101852</v>
      </c>
      <c r="B344" s="19">
        <v>171.0</v>
      </c>
      <c r="C344" s="19" t="s">
        <v>55</v>
      </c>
      <c r="D344" s="19" t="s">
        <v>36</v>
      </c>
      <c r="E344" s="19">
        <v>9100.0</v>
      </c>
      <c r="F344" s="20">
        <v>4.0</v>
      </c>
      <c r="G344" s="20">
        <v>-40.9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20">
        <v>0.0</v>
      </c>
      <c r="O344" s="20">
        <v>0.0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18">
        <v>46018.56809101852</v>
      </c>
      <c r="B345" s="19">
        <v>171.0</v>
      </c>
      <c r="C345" s="19" t="s">
        <v>56</v>
      </c>
      <c r="D345" s="19" t="s">
        <v>6</v>
      </c>
      <c r="E345" s="19">
        <v>19000.0</v>
      </c>
      <c r="F345" s="20">
        <v>2.0</v>
      </c>
      <c r="G345" s="20">
        <v>-1.0</v>
      </c>
      <c r="I345" s="6">
        <v>1.0</v>
      </c>
      <c r="J345" s="6">
        <v>0.0</v>
      </c>
      <c r="K345" s="6">
        <v>0.0</v>
      </c>
      <c r="L345" s="6">
        <v>0.0</v>
      </c>
      <c r="M345" s="6">
        <v>0.0</v>
      </c>
      <c r="N345" s="20">
        <v>0.0</v>
      </c>
      <c r="O345" s="20">
        <v>0.0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18">
        <v>46017.89496994213</v>
      </c>
      <c r="B346" s="19">
        <v>170.0</v>
      </c>
      <c r="C346" s="19" t="s">
        <v>53</v>
      </c>
      <c r="D346" s="19" t="s">
        <v>6</v>
      </c>
      <c r="E346" s="19">
        <v>14800.0</v>
      </c>
      <c r="F346" s="20">
        <v>4.0</v>
      </c>
      <c r="G346" s="20">
        <v>-35.2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20">
        <v>0.0</v>
      </c>
      <c r="O346" s="20">
        <v>0.0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18">
        <v>46017.89496994213</v>
      </c>
      <c r="B347" s="19">
        <v>170.0</v>
      </c>
      <c r="C347" s="19" t="s">
        <v>54</v>
      </c>
      <c r="D347" s="19" t="s">
        <v>8</v>
      </c>
      <c r="E347" s="19">
        <v>17200.0</v>
      </c>
      <c r="F347" s="20">
        <v>3.0</v>
      </c>
      <c r="G347" s="20">
        <v>-22.8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20">
        <v>0.0</v>
      </c>
      <c r="O347" s="20">
        <v>0.0</v>
      </c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18">
        <v>46017.89496994213</v>
      </c>
      <c r="B348" s="19">
        <v>170.0</v>
      </c>
      <c r="C348" s="19" t="s">
        <v>55</v>
      </c>
      <c r="D348" s="19" t="s">
        <v>37</v>
      </c>
      <c r="E348" s="19">
        <v>33600.0</v>
      </c>
      <c r="F348" s="20">
        <v>2.0</v>
      </c>
      <c r="G348" s="20">
        <v>13.6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20">
        <v>0.0</v>
      </c>
      <c r="O348" s="20">
        <v>0.0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18">
        <v>46017.89496994213</v>
      </c>
      <c r="B349" s="19">
        <v>170.0</v>
      </c>
      <c r="C349" s="19" t="s">
        <v>56</v>
      </c>
      <c r="D349" s="19" t="s">
        <v>9</v>
      </c>
      <c r="E349" s="19">
        <v>34400.0</v>
      </c>
      <c r="F349" s="20">
        <v>1.0</v>
      </c>
      <c r="G349" s="20">
        <v>44.4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20">
        <v>0.0</v>
      </c>
      <c r="O349" s="20">
        <v>0.0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18">
        <v>46017.79413971065</v>
      </c>
      <c r="B350" s="19">
        <v>169.0</v>
      </c>
      <c r="C350" s="19" t="s">
        <v>53</v>
      </c>
      <c r="D350" s="19" t="s">
        <v>37</v>
      </c>
      <c r="E350" s="19">
        <v>11900.0</v>
      </c>
      <c r="F350" s="20">
        <v>3.0</v>
      </c>
      <c r="G350" s="20">
        <v>-28.1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20">
        <v>0.0</v>
      </c>
      <c r="O350" s="20">
        <v>0.0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18">
        <v>46017.79413971065</v>
      </c>
      <c r="B351" s="19">
        <v>169.0</v>
      </c>
      <c r="C351" s="19" t="s">
        <v>54</v>
      </c>
      <c r="D351" s="19" t="s">
        <v>8</v>
      </c>
      <c r="E351" s="19">
        <v>38600.0</v>
      </c>
      <c r="F351" s="20">
        <v>2.0</v>
      </c>
      <c r="G351" s="20">
        <v>18.6</v>
      </c>
      <c r="I351" s="6">
        <v>0.0</v>
      </c>
      <c r="J351" s="6">
        <v>2.0</v>
      </c>
      <c r="K351" s="6">
        <v>0.0</v>
      </c>
      <c r="L351" s="6">
        <v>0.0</v>
      </c>
      <c r="M351" s="6">
        <v>0.0</v>
      </c>
      <c r="N351" s="20">
        <v>0.0</v>
      </c>
      <c r="O351" s="20">
        <v>0.0</v>
      </c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18">
        <v>46017.79413971065</v>
      </c>
      <c r="B352" s="19">
        <v>169.0</v>
      </c>
      <c r="C352" s="19" t="s">
        <v>55</v>
      </c>
      <c r="D352" s="19" t="s">
        <v>6</v>
      </c>
      <c r="E352" s="19">
        <v>38800.0</v>
      </c>
      <c r="F352" s="20">
        <v>1.0</v>
      </c>
      <c r="G352" s="20">
        <v>48.8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20">
        <v>0.0</v>
      </c>
      <c r="O352" s="20">
        <v>0.0</v>
      </c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18">
        <v>46017.79413971065</v>
      </c>
      <c r="B353" s="19">
        <v>169.0</v>
      </c>
      <c r="C353" s="19" t="s">
        <v>56</v>
      </c>
      <c r="D353" s="19" t="s">
        <v>9</v>
      </c>
      <c r="E353" s="19">
        <v>10700.0</v>
      </c>
      <c r="F353" s="20">
        <v>4.0</v>
      </c>
      <c r="G353" s="20">
        <v>-39.3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20">
        <v>0.0</v>
      </c>
      <c r="O353" s="20">
        <v>0.0</v>
      </c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18">
        <v>46017.72080601852</v>
      </c>
      <c r="B354" s="19">
        <v>168.0</v>
      </c>
      <c r="C354" s="19" t="s">
        <v>53</v>
      </c>
      <c r="D354" s="19" t="s">
        <v>8</v>
      </c>
      <c r="E354" s="19">
        <v>20800.0</v>
      </c>
      <c r="F354" s="20">
        <v>3.0</v>
      </c>
      <c r="G354" s="20">
        <v>-19.2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20">
        <v>0.0</v>
      </c>
      <c r="O354" s="20">
        <v>0.0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18">
        <v>46017.72080601852</v>
      </c>
      <c r="B355" s="19">
        <v>168.0</v>
      </c>
      <c r="C355" s="19" t="s">
        <v>54</v>
      </c>
      <c r="D355" s="19" t="s">
        <v>37</v>
      </c>
      <c r="E355" s="19">
        <v>-700.0</v>
      </c>
      <c r="F355" s="20">
        <v>4.0</v>
      </c>
      <c r="G355" s="20">
        <v>-50.7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20">
        <v>0.0</v>
      </c>
      <c r="O355" s="20">
        <v>0.0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18">
        <v>46017.72080601852</v>
      </c>
      <c r="B356" s="19">
        <v>168.0</v>
      </c>
      <c r="C356" s="19" t="s">
        <v>55</v>
      </c>
      <c r="D356" s="19" t="s">
        <v>9</v>
      </c>
      <c r="E356" s="19">
        <v>58500.0</v>
      </c>
      <c r="F356" s="20">
        <v>1.0</v>
      </c>
      <c r="G356" s="20">
        <v>68.5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20">
        <v>0.0</v>
      </c>
      <c r="O356" s="20">
        <v>0.0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18">
        <v>46017.72080601852</v>
      </c>
      <c r="B357" s="19">
        <v>168.0</v>
      </c>
      <c r="C357" s="19" t="s">
        <v>56</v>
      </c>
      <c r="D357" s="19" t="s">
        <v>6</v>
      </c>
      <c r="E357" s="19">
        <v>21400.0</v>
      </c>
      <c r="F357" s="20">
        <v>2.0</v>
      </c>
      <c r="G357" s="20">
        <v>1.4000000000000004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20">
        <v>0.0</v>
      </c>
      <c r="O357" s="20">
        <v>0.0</v>
      </c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18">
        <v>46017.642455243054</v>
      </c>
      <c r="B358" s="19">
        <v>167.0</v>
      </c>
      <c r="C358" s="19" t="s">
        <v>53</v>
      </c>
      <c r="D358" s="19" t="s">
        <v>6</v>
      </c>
      <c r="E358" s="19">
        <v>39400.0</v>
      </c>
      <c r="F358" s="20">
        <v>2.0</v>
      </c>
      <c r="G358" s="20">
        <v>19.4</v>
      </c>
      <c r="I358" s="6">
        <v>0.0</v>
      </c>
      <c r="J358" s="6">
        <v>1.0</v>
      </c>
      <c r="K358" s="6">
        <v>0.0</v>
      </c>
      <c r="L358" s="6">
        <v>0.0</v>
      </c>
      <c r="M358" s="6">
        <v>0.0</v>
      </c>
      <c r="N358" s="20">
        <v>0.0</v>
      </c>
      <c r="O358" s="20">
        <v>0.0</v>
      </c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18">
        <v>46017.642455243054</v>
      </c>
      <c r="B359" s="19">
        <v>167.0</v>
      </c>
      <c r="C359" s="19" t="s">
        <v>54</v>
      </c>
      <c r="D359" s="19" t="s">
        <v>8</v>
      </c>
      <c r="E359" s="19">
        <v>22300.0</v>
      </c>
      <c r="F359" s="20">
        <v>3.0</v>
      </c>
      <c r="G359" s="20">
        <v>-17.7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20">
        <v>0.0</v>
      </c>
      <c r="O359" s="20">
        <v>0.0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18">
        <v>46017.642455243054</v>
      </c>
      <c r="B360" s="19">
        <v>167.0</v>
      </c>
      <c r="C360" s="19" t="s">
        <v>55</v>
      </c>
      <c r="D360" s="19" t="s">
        <v>37</v>
      </c>
      <c r="E360" s="19">
        <v>-5200.0</v>
      </c>
      <c r="F360" s="20">
        <v>4.0</v>
      </c>
      <c r="G360" s="20">
        <v>-55.2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  <c r="N360" s="20">
        <v>0.0</v>
      </c>
      <c r="O360" s="20">
        <v>0.0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18">
        <v>46017.642455243054</v>
      </c>
      <c r="B361" s="19">
        <v>167.0</v>
      </c>
      <c r="C361" s="19" t="s">
        <v>56</v>
      </c>
      <c r="D361" s="19" t="s">
        <v>9</v>
      </c>
      <c r="E361" s="19">
        <v>43500.0</v>
      </c>
      <c r="F361" s="20">
        <v>1.0</v>
      </c>
      <c r="G361" s="20">
        <v>53.5</v>
      </c>
      <c r="I361" s="6">
        <v>0.0</v>
      </c>
      <c r="J361" s="6">
        <v>1.0</v>
      </c>
      <c r="K361" s="6">
        <v>0.0</v>
      </c>
      <c r="L361" s="6">
        <v>0.0</v>
      </c>
      <c r="M361" s="6">
        <v>0.0</v>
      </c>
      <c r="N361" s="20">
        <v>0.0</v>
      </c>
      <c r="O361" s="20">
        <v>0.0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18">
        <v>46017.58538377315</v>
      </c>
      <c r="B362" s="19">
        <v>166.0</v>
      </c>
      <c r="C362" s="19" t="s">
        <v>53</v>
      </c>
      <c r="D362" s="19" t="s">
        <v>8</v>
      </c>
      <c r="E362" s="19">
        <v>18500.0</v>
      </c>
      <c r="F362" s="20">
        <v>3.0</v>
      </c>
      <c r="G362" s="20">
        <v>-21.5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20">
        <v>0.0</v>
      </c>
      <c r="O362" s="20">
        <v>0.0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18">
        <v>46017.58538377315</v>
      </c>
      <c r="B363" s="19">
        <v>166.0</v>
      </c>
      <c r="C363" s="19" t="s">
        <v>54</v>
      </c>
      <c r="D363" s="19" t="s">
        <v>6</v>
      </c>
      <c r="E363" s="19">
        <v>35000.0</v>
      </c>
      <c r="F363" s="20">
        <v>1.0</v>
      </c>
      <c r="G363" s="20">
        <v>45.0</v>
      </c>
      <c r="I363" s="6">
        <v>0.0</v>
      </c>
      <c r="J363" s="6">
        <v>1.0</v>
      </c>
      <c r="K363" s="6">
        <v>0.0</v>
      </c>
      <c r="L363" s="6">
        <v>0.0</v>
      </c>
      <c r="M363" s="6">
        <v>0.0</v>
      </c>
      <c r="N363" s="20">
        <v>0.0</v>
      </c>
      <c r="O363" s="20">
        <v>0.0</v>
      </c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18">
        <v>46017.58538377315</v>
      </c>
      <c r="B364" s="19">
        <v>166.0</v>
      </c>
      <c r="C364" s="19" t="s">
        <v>55</v>
      </c>
      <c r="D364" s="19" t="s">
        <v>37</v>
      </c>
      <c r="E364" s="19">
        <v>32900.0</v>
      </c>
      <c r="F364" s="20">
        <v>2.0</v>
      </c>
      <c r="G364" s="20">
        <v>12.9</v>
      </c>
      <c r="I364" s="6">
        <v>0.0</v>
      </c>
      <c r="J364" s="6">
        <v>1.0</v>
      </c>
      <c r="K364" s="6">
        <v>0.0</v>
      </c>
      <c r="L364" s="6">
        <v>0.0</v>
      </c>
      <c r="M364" s="6">
        <v>0.0</v>
      </c>
      <c r="N364" s="20">
        <v>0.0</v>
      </c>
      <c r="O364" s="20">
        <v>0.0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18">
        <v>46017.58538377315</v>
      </c>
      <c r="B365" s="19">
        <v>166.0</v>
      </c>
      <c r="C365" s="19" t="s">
        <v>56</v>
      </c>
      <c r="D365" s="19" t="s">
        <v>9</v>
      </c>
      <c r="E365" s="19">
        <v>13600.0</v>
      </c>
      <c r="F365" s="20">
        <v>4.0</v>
      </c>
      <c r="G365" s="20">
        <v>-36.4</v>
      </c>
      <c r="I365" s="6">
        <v>0.0</v>
      </c>
      <c r="J365" s="6">
        <v>0.0</v>
      </c>
      <c r="K365" s="6">
        <v>0.0</v>
      </c>
      <c r="L365" s="6">
        <v>0.0</v>
      </c>
      <c r="M365" s="6">
        <v>0.0</v>
      </c>
      <c r="N365" s="20">
        <v>0.0</v>
      </c>
      <c r="O365" s="20">
        <v>0.0</v>
      </c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18">
        <v>46013.36020796296</v>
      </c>
      <c r="B366" s="19">
        <v>165.0</v>
      </c>
      <c r="C366" s="19" t="s">
        <v>53</v>
      </c>
      <c r="D366" s="19" t="s">
        <v>14</v>
      </c>
      <c r="E366" s="19">
        <v>34900.0</v>
      </c>
      <c r="F366" s="20">
        <v>1.0</v>
      </c>
      <c r="G366" s="20">
        <v>44.9</v>
      </c>
      <c r="I366" s="6">
        <v>0.0</v>
      </c>
      <c r="J366" s="6">
        <v>0.0</v>
      </c>
      <c r="K366" s="6">
        <v>0.0</v>
      </c>
      <c r="L366" s="6">
        <v>0.0</v>
      </c>
      <c r="M366" s="6">
        <v>0.0</v>
      </c>
      <c r="N366" s="20">
        <v>0.0</v>
      </c>
      <c r="O366" s="20">
        <v>0.0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18">
        <v>46013.36020796296</v>
      </c>
      <c r="B367" s="19">
        <v>165.0</v>
      </c>
      <c r="C367" s="19" t="s">
        <v>54</v>
      </c>
      <c r="D367" s="19" t="s">
        <v>7</v>
      </c>
      <c r="E367" s="19">
        <v>34500.0</v>
      </c>
      <c r="F367" s="20">
        <v>2.0</v>
      </c>
      <c r="G367" s="20">
        <v>14.5</v>
      </c>
      <c r="I367" s="6">
        <v>0.0</v>
      </c>
      <c r="J367" s="6">
        <v>0.0</v>
      </c>
      <c r="K367" s="6">
        <v>0.0</v>
      </c>
      <c r="L367" s="6">
        <v>0.0</v>
      </c>
      <c r="M367" s="6">
        <v>0.0</v>
      </c>
      <c r="N367" s="20">
        <v>0.0</v>
      </c>
      <c r="O367" s="20">
        <v>0.0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18">
        <v>46013.36020796296</v>
      </c>
      <c r="B368" s="19">
        <v>165.0</v>
      </c>
      <c r="C368" s="19" t="s">
        <v>55</v>
      </c>
      <c r="D368" s="19" t="s">
        <v>15</v>
      </c>
      <c r="E368" s="19">
        <v>10700.0</v>
      </c>
      <c r="F368" s="20">
        <v>4.0</v>
      </c>
      <c r="G368" s="20">
        <v>-39.3</v>
      </c>
      <c r="I368" s="6">
        <v>0.0</v>
      </c>
      <c r="J368" s="6">
        <v>0.0</v>
      </c>
      <c r="K368" s="6">
        <v>0.0</v>
      </c>
      <c r="L368" s="6">
        <v>0.0</v>
      </c>
      <c r="M368" s="6">
        <v>0.0</v>
      </c>
      <c r="N368" s="20">
        <v>0.0</v>
      </c>
      <c r="O368" s="20">
        <v>0.0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18">
        <v>46013.36020796296</v>
      </c>
      <c r="B369" s="19">
        <v>165.0</v>
      </c>
      <c r="C369" s="19" t="s">
        <v>56</v>
      </c>
      <c r="D369" s="19" t="s">
        <v>6</v>
      </c>
      <c r="E369" s="19">
        <v>19900.0</v>
      </c>
      <c r="F369" s="20">
        <v>3.0</v>
      </c>
      <c r="G369" s="20">
        <v>-20.1</v>
      </c>
      <c r="I369" s="6">
        <v>0.0</v>
      </c>
      <c r="J369" s="6">
        <v>0.0</v>
      </c>
      <c r="K369" s="6">
        <v>0.0</v>
      </c>
      <c r="L369" s="6">
        <v>0.0</v>
      </c>
      <c r="M369" s="6">
        <v>0.0</v>
      </c>
      <c r="N369" s="20">
        <v>0.0</v>
      </c>
      <c r="O369" s="20">
        <v>0.0</v>
      </c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18">
        <v>46013.35936478009</v>
      </c>
      <c r="B370" s="19">
        <v>164.0</v>
      </c>
      <c r="C370" s="19" t="s">
        <v>53</v>
      </c>
      <c r="D370" s="19" t="s">
        <v>14</v>
      </c>
      <c r="E370" s="19">
        <v>17700.0</v>
      </c>
      <c r="F370" s="20">
        <v>3.0</v>
      </c>
      <c r="G370" s="20">
        <v>-22.3</v>
      </c>
      <c r="I370" s="6">
        <v>0.0</v>
      </c>
      <c r="J370" s="6">
        <v>0.0</v>
      </c>
      <c r="K370" s="6">
        <v>0.0</v>
      </c>
      <c r="L370" s="6">
        <v>0.0</v>
      </c>
      <c r="M370" s="6">
        <v>0.0</v>
      </c>
      <c r="N370" s="20">
        <v>0.0</v>
      </c>
      <c r="O370" s="20">
        <v>0.0</v>
      </c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18">
        <v>46013.35936478009</v>
      </c>
      <c r="B371" s="19">
        <v>164.0</v>
      </c>
      <c r="C371" s="19" t="s">
        <v>54</v>
      </c>
      <c r="D371" s="19" t="s">
        <v>31</v>
      </c>
      <c r="E371" s="19">
        <v>8000.0</v>
      </c>
      <c r="F371" s="20">
        <v>4.0</v>
      </c>
      <c r="G371" s="20">
        <v>-42.0</v>
      </c>
      <c r="I371" s="6">
        <v>1.0</v>
      </c>
      <c r="J371" s="6">
        <v>0.0</v>
      </c>
      <c r="K371" s="6">
        <v>0.0</v>
      </c>
      <c r="L371" s="6">
        <v>0.0</v>
      </c>
      <c r="M371" s="6">
        <v>0.0</v>
      </c>
      <c r="N371" s="20">
        <v>0.0</v>
      </c>
      <c r="O371" s="20">
        <v>0.0</v>
      </c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18">
        <v>46013.35936478009</v>
      </c>
      <c r="B372" s="19">
        <v>164.0</v>
      </c>
      <c r="C372" s="19" t="s">
        <v>55</v>
      </c>
      <c r="D372" s="19" t="s">
        <v>7</v>
      </c>
      <c r="E372" s="19">
        <v>20700.0</v>
      </c>
      <c r="F372" s="20">
        <v>2.0</v>
      </c>
      <c r="G372" s="20">
        <v>0.6999999999999993</v>
      </c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  <c r="N372" s="20">
        <v>0.0</v>
      </c>
      <c r="O372" s="20">
        <v>0.0</v>
      </c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18">
        <v>46013.35936478009</v>
      </c>
      <c r="B373" s="19">
        <v>164.0</v>
      </c>
      <c r="C373" s="19" t="s">
        <v>56</v>
      </c>
      <c r="D373" s="19" t="s">
        <v>15</v>
      </c>
      <c r="E373" s="19">
        <v>53600.0</v>
      </c>
      <c r="F373" s="20">
        <v>1.0</v>
      </c>
      <c r="G373" s="20">
        <v>63.6</v>
      </c>
      <c r="I373" s="6">
        <v>1.0</v>
      </c>
      <c r="J373" s="6">
        <v>0.0</v>
      </c>
      <c r="K373" s="6">
        <v>1.0</v>
      </c>
      <c r="L373" s="6">
        <v>0.0</v>
      </c>
      <c r="M373" s="6">
        <v>0.0</v>
      </c>
      <c r="N373" s="20">
        <v>0.0</v>
      </c>
      <c r="O373" s="20">
        <v>0.0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18">
        <v>46013.35885853009</v>
      </c>
      <c r="B374" s="19">
        <v>163.0</v>
      </c>
      <c r="C374" s="19" t="s">
        <v>53</v>
      </c>
      <c r="D374" s="19" t="s">
        <v>17</v>
      </c>
      <c r="E374" s="19">
        <v>6000.0</v>
      </c>
      <c r="F374" s="20">
        <v>3.0</v>
      </c>
      <c r="G374" s="20">
        <v>-34.0</v>
      </c>
      <c r="I374" s="6">
        <v>0.0</v>
      </c>
      <c r="J374" s="6">
        <v>0.0</v>
      </c>
      <c r="K374" s="6">
        <v>0.0</v>
      </c>
      <c r="L374" s="6">
        <v>0.0</v>
      </c>
      <c r="M374" s="6">
        <v>0.0</v>
      </c>
      <c r="N374" s="20">
        <v>0.0</v>
      </c>
      <c r="O374" s="20">
        <v>0.0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18">
        <v>46013.35885853009</v>
      </c>
      <c r="B375" s="19">
        <v>163.0</v>
      </c>
      <c r="C375" s="19" t="s">
        <v>54</v>
      </c>
      <c r="D375" s="19" t="s">
        <v>14</v>
      </c>
      <c r="E375" s="19">
        <v>53200.0</v>
      </c>
      <c r="F375" s="20">
        <v>1.0</v>
      </c>
      <c r="G375" s="20">
        <v>63.2</v>
      </c>
      <c r="I375" s="6">
        <v>1.0</v>
      </c>
      <c r="J375" s="6">
        <v>1.0</v>
      </c>
      <c r="K375" s="6">
        <v>0.0</v>
      </c>
      <c r="L375" s="6">
        <v>0.0</v>
      </c>
      <c r="M375" s="6">
        <v>0.0</v>
      </c>
      <c r="N375" s="20">
        <v>0.0</v>
      </c>
      <c r="O375" s="20">
        <v>0.0</v>
      </c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18">
        <v>46013.35885853009</v>
      </c>
      <c r="B376" s="19">
        <v>163.0</v>
      </c>
      <c r="C376" s="19" t="s">
        <v>55</v>
      </c>
      <c r="D376" s="19" t="s">
        <v>13</v>
      </c>
      <c r="E376" s="19">
        <v>-3100.0</v>
      </c>
      <c r="F376" s="20">
        <v>4.0</v>
      </c>
      <c r="G376" s="20">
        <v>-53.1</v>
      </c>
      <c r="I376" s="6">
        <v>0.0</v>
      </c>
      <c r="J376" s="6">
        <v>0.0</v>
      </c>
      <c r="K376" s="6">
        <v>0.0</v>
      </c>
      <c r="L376" s="6">
        <v>0.0</v>
      </c>
      <c r="M376" s="6">
        <v>0.0</v>
      </c>
      <c r="N376" s="20">
        <v>0.0</v>
      </c>
      <c r="O376" s="20">
        <v>0.0</v>
      </c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18">
        <v>46013.35885853009</v>
      </c>
      <c r="B377" s="19">
        <v>163.0</v>
      </c>
      <c r="C377" s="19" t="s">
        <v>56</v>
      </c>
      <c r="D377" s="19" t="s">
        <v>6</v>
      </c>
      <c r="E377" s="19">
        <v>43900.0</v>
      </c>
      <c r="F377" s="20">
        <v>2.0</v>
      </c>
      <c r="G377" s="20">
        <v>23.9</v>
      </c>
      <c r="I377" s="6">
        <v>0.0</v>
      </c>
      <c r="J377" s="6">
        <v>1.0</v>
      </c>
      <c r="K377" s="6">
        <v>0.0</v>
      </c>
      <c r="L377" s="6">
        <v>0.0</v>
      </c>
      <c r="M377" s="6">
        <v>0.0</v>
      </c>
      <c r="N377" s="20">
        <v>0.0</v>
      </c>
      <c r="O377" s="20">
        <v>0.0</v>
      </c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18">
        <v>46012.02054784722</v>
      </c>
      <c r="B378" s="19">
        <v>153.0</v>
      </c>
      <c r="C378" s="19" t="s">
        <v>53</v>
      </c>
      <c r="D378" s="19" t="s">
        <v>9</v>
      </c>
      <c r="E378" s="19">
        <v>13600.0</v>
      </c>
      <c r="F378" s="20">
        <v>4.0</v>
      </c>
      <c r="G378" s="20">
        <v>-36.4</v>
      </c>
      <c r="I378" s="6">
        <v>0.0</v>
      </c>
      <c r="J378" s="6">
        <v>0.0</v>
      </c>
      <c r="K378" s="6">
        <v>0.0</v>
      </c>
      <c r="L378" s="6">
        <v>0.0</v>
      </c>
      <c r="M378" s="6">
        <v>0.0</v>
      </c>
      <c r="N378" s="20">
        <v>0.0</v>
      </c>
      <c r="O378" s="20">
        <v>0.0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18">
        <v>46012.02054784722</v>
      </c>
      <c r="B379" s="19">
        <v>153.0</v>
      </c>
      <c r="C379" s="19" t="s">
        <v>54</v>
      </c>
      <c r="D379" s="19" t="s">
        <v>13</v>
      </c>
      <c r="E379" s="19">
        <v>14600.0</v>
      </c>
      <c r="F379" s="20">
        <v>3.0</v>
      </c>
      <c r="G379" s="20">
        <v>-25.4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  <c r="N379" s="20">
        <v>0.0</v>
      </c>
      <c r="O379" s="20">
        <v>0.0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18">
        <v>46012.02054784722</v>
      </c>
      <c r="B380" s="19">
        <v>153.0</v>
      </c>
      <c r="C380" s="19" t="s">
        <v>55</v>
      </c>
      <c r="D380" s="19" t="s">
        <v>31</v>
      </c>
      <c r="E380" s="19">
        <v>35600.0</v>
      </c>
      <c r="F380" s="20">
        <v>2.0</v>
      </c>
      <c r="G380" s="20">
        <v>15.6</v>
      </c>
      <c r="I380" s="6">
        <v>0.0</v>
      </c>
      <c r="J380" s="6">
        <v>0.0</v>
      </c>
      <c r="K380" s="6">
        <v>0.0</v>
      </c>
      <c r="L380" s="6">
        <v>0.0</v>
      </c>
      <c r="M380" s="6">
        <v>0.0</v>
      </c>
      <c r="N380" s="20">
        <v>0.0</v>
      </c>
      <c r="O380" s="20">
        <v>0.0</v>
      </c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18">
        <v>46012.02054784722</v>
      </c>
      <c r="B381" s="19">
        <v>153.0</v>
      </c>
      <c r="C381" s="19" t="s">
        <v>56</v>
      </c>
      <c r="D381" s="19" t="s">
        <v>17</v>
      </c>
      <c r="E381" s="19">
        <v>36200.0</v>
      </c>
      <c r="F381" s="20">
        <v>1.0</v>
      </c>
      <c r="G381" s="20">
        <v>46.2</v>
      </c>
      <c r="I381" s="6">
        <v>0.0</v>
      </c>
      <c r="J381" s="6">
        <v>0.0</v>
      </c>
      <c r="K381" s="6">
        <v>0.0</v>
      </c>
      <c r="L381" s="6">
        <v>0.0</v>
      </c>
      <c r="M381" s="6">
        <v>0.0</v>
      </c>
      <c r="N381" s="20">
        <v>0.0</v>
      </c>
      <c r="O381" s="20">
        <v>0.0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18">
        <v>46011.908917002314</v>
      </c>
      <c r="B382" s="19">
        <v>152.0</v>
      </c>
      <c r="C382" s="19" t="s">
        <v>53</v>
      </c>
      <c r="D382" s="19" t="s">
        <v>6</v>
      </c>
      <c r="E382" s="19">
        <v>24200.0</v>
      </c>
      <c r="F382" s="20">
        <v>2.0</v>
      </c>
      <c r="G382" s="20">
        <v>4.2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  <c r="N382" s="20">
        <v>0.0</v>
      </c>
      <c r="O382" s="20">
        <v>0.0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18">
        <v>46011.908917002314</v>
      </c>
      <c r="B383" s="19">
        <v>152.0</v>
      </c>
      <c r="C383" s="19" t="s">
        <v>54</v>
      </c>
      <c r="D383" s="19" t="s">
        <v>13</v>
      </c>
      <c r="E383" s="19">
        <v>14400.0</v>
      </c>
      <c r="F383" s="20">
        <v>4.0</v>
      </c>
      <c r="G383" s="20">
        <v>-35.6</v>
      </c>
      <c r="I383" s="6">
        <v>0.0</v>
      </c>
      <c r="J383" s="6">
        <v>0.0</v>
      </c>
      <c r="K383" s="6">
        <v>0.0</v>
      </c>
      <c r="L383" s="6">
        <v>0.0</v>
      </c>
      <c r="M383" s="6">
        <v>0.0</v>
      </c>
      <c r="N383" s="20">
        <v>0.0</v>
      </c>
      <c r="O383" s="20">
        <v>0.0</v>
      </c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18">
        <v>46011.908917002314</v>
      </c>
      <c r="B384" s="19">
        <v>152.0</v>
      </c>
      <c r="C384" s="19" t="s">
        <v>55</v>
      </c>
      <c r="D384" s="19" t="s">
        <v>9</v>
      </c>
      <c r="E384" s="19">
        <v>20800.0</v>
      </c>
      <c r="F384" s="20">
        <v>3.0</v>
      </c>
      <c r="G384" s="20">
        <v>-19.2</v>
      </c>
      <c r="I384" s="6">
        <v>0.0</v>
      </c>
      <c r="J384" s="6">
        <v>0.0</v>
      </c>
      <c r="K384" s="6">
        <v>0.0</v>
      </c>
      <c r="L384" s="6">
        <v>0.0</v>
      </c>
      <c r="M384" s="6">
        <v>0.0</v>
      </c>
      <c r="N384" s="20">
        <v>0.0</v>
      </c>
      <c r="O384" s="20">
        <v>0.0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18">
        <v>46011.908917002314</v>
      </c>
      <c r="B385" s="19">
        <v>152.0</v>
      </c>
      <c r="C385" s="19" t="s">
        <v>56</v>
      </c>
      <c r="D385" s="19" t="s">
        <v>17</v>
      </c>
      <c r="E385" s="19">
        <v>40600.0</v>
      </c>
      <c r="F385" s="20">
        <v>1.0</v>
      </c>
      <c r="G385" s="20">
        <v>50.6</v>
      </c>
      <c r="I385" s="6">
        <v>0.0</v>
      </c>
      <c r="J385" s="6">
        <v>0.0</v>
      </c>
      <c r="K385" s="6">
        <v>0.0</v>
      </c>
      <c r="L385" s="6">
        <v>0.0</v>
      </c>
      <c r="M385" s="6">
        <v>0.0</v>
      </c>
      <c r="N385" s="20">
        <v>0.0</v>
      </c>
      <c r="O385" s="20">
        <v>0.0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18">
        <v>46011.85308407407</v>
      </c>
      <c r="B386" s="19">
        <v>151.0</v>
      </c>
      <c r="C386" s="19" t="s">
        <v>53</v>
      </c>
      <c r="D386" s="19" t="s">
        <v>17</v>
      </c>
      <c r="E386" s="19">
        <v>6000.0</v>
      </c>
      <c r="F386" s="20">
        <v>3.0</v>
      </c>
      <c r="G386" s="20">
        <v>-34.0</v>
      </c>
      <c r="I386" s="6">
        <v>0.0</v>
      </c>
      <c r="J386" s="6">
        <v>0.0</v>
      </c>
      <c r="K386" s="6">
        <v>0.0</v>
      </c>
      <c r="L386" s="6">
        <v>0.0</v>
      </c>
      <c r="M386" s="6">
        <v>0.0</v>
      </c>
      <c r="N386" s="20">
        <v>0.0</v>
      </c>
      <c r="O386" s="20">
        <v>0.0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18">
        <v>46011.85308407407</v>
      </c>
      <c r="B387" s="19">
        <v>151.0</v>
      </c>
      <c r="C387" s="19" t="s">
        <v>54</v>
      </c>
      <c r="D387" s="19" t="s">
        <v>14</v>
      </c>
      <c r="E387" s="19">
        <v>53200.0</v>
      </c>
      <c r="F387" s="20">
        <v>1.0</v>
      </c>
      <c r="G387" s="20">
        <v>63.2</v>
      </c>
      <c r="I387" s="6">
        <v>1.0</v>
      </c>
      <c r="J387" s="6">
        <v>1.0</v>
      </c>
      <c r="K387" s="6">
        <v>0.0</v>
      </c>
      <c r="L387" s="6">
        <v>0.0</v>
      </c>
      <c r="M387" s="6">
        <v>0.0</v>
      </c>
      <c r="N387" s="20">
        <v>0.0</v>
      </c>
      <c r="O387" s="20">
        <v>0.0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18">
        <v>46011.85308407407</v>
      </c>
      <c r="B388" s="19">
        <v>151.0</v>
      </c>
      <c r="C388" s="19" t="s">
        <v>55</v>
      </c>
      <c r="D388" s="19" t="s">
        <v>13</v>
      </c>
      <c r="E388" s="19">
        <v>-3100.0</v>
      </c>
      <c r="F388" s="20">
        <v>4.0</v>
      </c>
      <c r="G388" s="20">
        <v>-53.1</v>
      </c>
      <c r="I388" s="6">
        <v>0.0</v>
      </c>
      <c r="J388" s="6">
        <v>0.0</v>
      </c>
      <c r="K388" s="6">
        <v>0.0</v>
      </c>
      <c r="L388" s="6">
        <v>0.0</v>
      </c>
      <c r="M388" s="6">
        <v>0.0</v>
      </c>
      <c r="N388" s="20">
        <v>0.0</v>
      </c>
      <c r="O388" s="20">
        <v>0.0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18">
        <v>46011.85308407407</v>
      </c>
      <c r="B389" s="19">
        <v>151.0</v>
      </c>
      <c r="C389" s="19" t="s">
        <v>56</v>
      </c>
      <c r="D389" s="19" t="s">
        <v>6</v>
      </c>
      <c r="E389" s="19">
        <v>43900.0</v>
      </c>
      <c r="F389" s="20">
        <v>2.0</v>
      </c>
      <c r="G389" s="20">
        <v>23.9</v>
      </c>
      <c r="I389" s="6">
        <v>0.0</v>
      </c>
      <c r="J389" s="6">
        <v>1.0</v>
      </c>
      <c r="K389" s="6">
        <v>0.0</v>
      </c>
      <c r="L389" s="6">
        <v>0.0</v>
      </c>
      <c r="M389" s="6">
        <v>0.0</v>
      </c>
      <c r="N389" s="20">
        <v>0.0</v>
      </c>
      <c r="O389" s="20">
        <v>0.0</v>
      </c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18">
        <v>46011.84755681713</v>
      </c>
      <c r="B390" s="19">
        <v>150.0</v>
      </c>
      <c r="C390" s="19" t="s">
        <v>53</v>
      </c>
      <c r="D390" s="19" t="s">
        <v>9</v>
      </c>
      <c r="E390" s="19">
        <v>-3900.0</v>
      </c>
      <c r="F390" s="20">
        <v>4.0</v>
      </c>
      <c r="G390" s="20">
        <v>-53.9</v>
      </c>
      <c r="I390" s="6">
        <v>0.0</v>
      </c>
      <c r="J390" s="6">
        <v>0.0</v>
      </c>
      <c r="K390" s="6">
        <v>0.0</v>
      </c>
      <c r="L390" s="6">
        <v>0.0</v>
      </c>
      <c r="M390" s="6">
        <v>0.0</v>
      </c>
      <c r="N390" s="20">
        <v>0.0</v>
      </c>
      <c r="O390" s="20">
        <v>0.0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18">
        <v>46011.84755681713</v>
      </c>
      <c r="B391" s="19">
        <v>150.0</v>
      </c>
      <c r="C391" s="19" t="s">
        <v>54</v>
      </c>
      <c r="D391" s="19" t="s">
        <v>7</v>
      </c>
      <c r="E391" s="19">
        <v>45100.0</v>
      </c>
      <c r="F391" s="20">
        <v>1.0</v>
      </c>
      <c r="G391" s="20">
        <v>55.1</v>
      </c>
      <c r="I391" s="6">
        <v>0.0</v>
      </c>
      <c r="J391" s="6">
        <v>0.0</v>
      </c>
      <c r="K391" s="6">
        <v>0.0</v>
      </c>
      <c r="L391" s="6">
        <v>0.0</v>
      </c>
      <c r="M391" s="6">
        <v>0.0</v>
      </c>
      <c r="N391" s="20">
        <v>0.0</v>
      </c>
      <c r="O391" s="20">
        <v>0.0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18">
        <v>46011.84755681713</v>
      </c>
      <c r="B392" s="19">
        <v>150.0</v>
      </c>
      <c r="C392" s="19" t="s">
        <v>55</v>
      </c>
      <c r="D392" s="19" t="s">
        <v>31</v>
      </c>
      <c r="E392" s="19">
        <v>29200.0</v>
      </c>
      <c r="F392" s="20">
        <v>3.0</v>
      </c>
      <c r="G392" s="20">
        <v>-10.8</v>
      </c>
      <c r="I392" s="6">
        <v>0.0</v>
      </c>
      <c r="J392" s="6">
        <v>0.0</v>
      </c>
      <c r="K392" s="6">
        <v>0.0</v>
      </c>
      <c r="L392" s="6">
        <v>0.0</v>
      </c>
      <c r="M392" s="6">
        <v>0.0</v>
      </c>
      <c r="N392" s="20">
        <v>0.0</v>
      </c>
      <c r="O392" s="20">
        <v>0.0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18">
        <v>46011.84755681713</v>
      </c>
      <c r="B393" s="19">
        <v>150.0</v>
      </c>
      <c r="C393" s="19" t="s">
        <v>56</v>
      </c>
      <c r="D393" s="19" t="s">
        <v>15</v>
      </c>
      <c r="E393" s="19">
        <v>29600.0</v>
      </c>
      <c r="F393" s="20">
        <v>2.0</v>
      </c>
      <c r="G393" s="20">
        <v>9.6</v>
      </c>
      <c r="I393" s="6">
        <v>1.0</v>
      </c>
      <c r="J393" s="6">
        <v>0.0</v>
      </c>
      <c r="K393" s="6">
        <v>0.0</v>
      </c>
      <c r="L393" s="6">
        <v>0.0</v>
      </c>
      <c r="M393" s="6">
        <v>0.0</v>
      </c>
      <c r="N393" s="20">
        <v>0.0</v>
      </c>
      <c r="O393" s="20">
        <v>0.0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18">
        <v>46011.77254517361</v>
      </c>
      <c r="B394" s="19">
        <v>149.0</v>
      </c>
      <c r="C394" s="19" t="s">
        <v>53</v>
      </c>
      <c r="D394" s="19" t="s">
        <v>17</v>
      </c>
      <c r="E394" s="19">
        <v>19600.0</v>
      </c>
      <c r="F394" s="20">
        <v>3.0</v>
      </c>
      <c r="G394" s="20">
        <v>-20.4</v>
      </c>
      <c r="I394" s="6">
        <v>0.0</v>
      </c>
      <c r="J394" s="6">
        <v>0.0</v>
      </c>
      <c r="K394" s="6">
        <v>0.0</v>
      </c>
      <c r="L394" s="6">
        <v>0.0</v>
      </c>
      <c r="M394" s="6">
        <v>0.0</v>
      </c>
      <c r="N394" s="20">
        <v>0.0</v>
      </c>
      <c r="O394" s="20">
        <v>0.0</v>
      </c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18">
        <v>46011.77254517361</v>
      </c>
      <c r="B395" s="19">
        <v>149.0</v>
      </c>
      <c r="C395" s="19" t="s">
        <v>54</v>
      </c>
      <c r="D395" s="19" t="s">
        <v>31</v>
      </c>
      <c r="E395" s="19">
        <v>39900.0</v>
      </c>
      <c r="F395" s="20">
        <v>1.0</v>
      </c>
      <c r="G395" s="20">
        <v>49.9</v>
      </c>
      <c r="I395" s="6">
        <v>1.0</v>
      </c>
      <c r="J395" s="6">
        <v>0.0</v>
      </c>
      <c r="K395" s="6">
        <v>0.0</v>
      </c>
      <c r="L395" s="6">
        <v>0.0</v>
      </c>
      <c r="M395" s="6">
        <v>0.0</v>
      </c>
      <c r="N395" s="20">
        <v>0.0</v>
      </c>
      <c r="O395" s="20">
        <v>0.0</v>
      </c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18">
        <v>46011.77254517361</v>
      </c>
      <c r="B396" s="19">
        <v>149.0</v>
      </c>
      <c r="C396" s="19" t="s">
        <v>55</v>
      </c>
      <c r="D396" s="19" t="s">
        <v>7</v>
      </c>
      <c r="E396" s="19">
        <v>33200.0</v>
      </c>
      <c r="F396" s="20">
        <v>2.0</v>
      </c>
      <c r="G396" s="20">
        <v>13.2</v>
      </c>
      <c r="I396" s="6">
        <v>1.0</v>
      </c>
      <c r="J396" s="6">
        <v>0.0</v>
      </c>
      <c r="K396" s="6">
        <v>0.0</v>
      </c>
      <c r="L396" s="6">
        <v>0.0</v>
      </c>
      <c r="M396" s="6">
        <v>0.0</v>
      </c>
      <c r="N396" s="20">
        <v>0.0</v>
      </c>
      <c r="O396" s="20">
        <v>0.0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18">
        <v>46011.77254517361</v>
      </c>
      <c r="B397" s="19">
        <v>149.0</v>
      </c>
      <c r="C397" s="19" t="s">
        <v>56</v>
      </c>
      <c r="D397" s="19" t="s">
        <v>13</v>
      </c>
      <c r="E397" s="19">
        <v>7300.0</v>
      </c>
      <c r="F397" s="20">
        <v>4.0</v>
      </c>
      <c r="G397" s="20">
        <v>-42.7</v>
      </c>
      <c r="I397" s="6">
        <v>0.0</v>
      </c>
      <c r="J397" s="6">
        <v>0.0</v>
      </c>
      <c r="K397" s="6">
        <v>0.0</v>
      </c>
      <c r="L397" s="6">
        <v>0.0</v>
      </c>
      <c r="M397" s="6">
        <v>0.0</v>
      </c>
      <c r="N397" s="20">
        <v>0.0</v>
      </c>
      <c r="O397" s="20">
        <v>0.0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18">
        <v>46011.77162486111</v>
      </c>
      <c r="B398" s="19">
        <v>148.0</v>
      </c>
      <c r="C398" s="19" t="s">
        <v>53</v>
      </c>
      <c r="D398" s="19" t="s">
        <v>8</v>
      </c>
      <c r="E398" s="19">
        <v>24600.0</v>
      </c>
      <c r="F398" s="20">
        <v>3.0</v>
      </c>
      <c r="G398" s="20">
        <v>-15.4</v>
      </c>
      <c r="I398" s="6">
        <v>1.0</v>
      </c>
      <c r="J398" s="6">
        <v>0.0</v>
      </c>
      <c r="K398" s="6">
        <v>0.0</v>
      </c>
      <c r="L398" s="6">
        <v>0.0</v>
      </c>
      <c r="M398" s="6">
        <v>0.0</v>
      </c>
      <c r="N398" s="20">
        <v>0.0</v>
      </c>
      <c r="O398" s="20">
        <v>0.0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18">
        <v>46011.77162486111</v>
      </c>
      <c r="B399" s="19">
        <v>148.0</v>
      </c>
      <c r="C399" s="19" t="s">
        <v>54</v>
      </c>
      <c r="D399" s="19" t="s">
        <v>17</v>
      </c>
      <c r="E399" s="19">
        <v>8500.0</v>
      </c>
      <c r="F399" s="20">
        <v>4.0</v>
      </c>
      <c r="G399" s="20">
        <v>-41.5</v>
      </c>
      <c r="I399" s="6">
        <v>0.0</v>
      </c>
      <c r="J399" s="6">
        <v>0.0</v>
      </c>
      <c r="K399" s="6">
        <v>0.0</v>
      </c>
      <c r="L399" s="6">
        <v>0.0</v>
      </c>
      <c r="M399" s="6">
        <v>0.0</v>
      </c>
      <c r="N399" s="20">
        <v>0.0</v>
      </c>
      <c r="O399" s="20">
        <v>0.0</v>
      </c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18">
        <v>46011.77162486111</v>
      </c>
      <c r="B400" s="19">
        <v>148.0</v>
      </c>
      <c r="C400" s="19" t="s">
        <v>55</v>
      </c>
      <c r="D400" s="19" t="s">
        <v>6</v>
      </c>
      <c r="E400" s="19">
        <v>35400.0</v>
      </c>
      <c r="F400" s="20">
        <v>1.0</v>
      </c>
      <c r="G400" s="20">
        <v>45.4</v>
      </c>
      <c r="I400" s="6">
        <v>0.0</v>
      </c>
      <c r="J400" s="6">
        <v>1.0</v>
      </c>
      <c r="K400" s="6">
        <v>0.0</v>
      </c>
      <c r="L400" s="6">
        <v>0.0</v>
      </c>
      <c r="M400" s="6">
        <v>0.0</v>
      </c>
      <c r="N400" s="20">
        <v>0.0</v>
      </c>
      <c r="O400" s="20">
        <v>0.0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18">
        <v>46011.77162486111</v>
      </c>
      <c r="B401" s="19">
        <v>148.0</v>
      </c>
      <c r="C401" s="19" t="s">
        <v>56</v>
      </c>
      <c r="D401" s="19" t="s">
        <v>7</v>
      </c>
      <c r="E401" s="19">
        <v>31500.0</v>
      </c>
      <c r="F401" s="20">
        <v>2.0</v>
      </c>
      <c r="G401" s="20">
        <v>11.5</v>
      </c>
      <c r="I401" s="6">
        <v>1.0</v>
      </c>
      <c r="J401" s="6">
        <v>0.0</v>
      </c>
      <c r="K401" s="6">
        <v>0.0</v>
      </c>
      <c r="L401" s="6">
        <v>0.0</v>
      </c>
      <c r="M401" s="6">
        <v>0.0</v>
      </c>
      <c r="N401" s="20">
        <v>0.0</v>
      </c>
      <c r="O401" s="20">
        <v>0.0</v>
      </c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18">
        <v>46011.770616354166</v>
      </c>
      <c r="B402" s="19">
        <v>147.0</v>
      </c>
      <c r="C402" s="19" t="s">
        <v>53</v>
      </c>
      <c r="D402" s="19" t="s">
        <v>17</v>
      </c>
      <c r="E402" s="19">
        <v>17800.0</v>
      </c>
      <c r="F402" s="20">
        <v>4.0</v>
      </c>
      <c r="G402" s="20">
        <v>-32.2</v>
      </c>
      <c r="I402" s="6">
        <v>0.0</v>
      </c>
      <c r="J402" s="6">
        <v>1.0</v>
      </c>
      <c r="K402" s="6">
        <v>0.0</v>
      </c>
      <c r="L402" s="6">
        <v>0.0</v>
      </c>
      <c r="M402" s="6">
        <v>0.0</v>
      </c>
      <c r="N402" s="20">
        <v>0.0</v>
      </c>
      <c r="O402" s="20">
        <v>0.0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18">
        <v>46011.770616354166</v>
      </c>
      <c r="B403" s="19">
        <v>147.0</v>
      </c>
      <c r="C403" s="19" t="s">
        <v>54</v>
      </c>
      <c r="D403" s="19" t="s">
        <v>13</v>
      </c>
      <c r="E403" s="19">
        <v>20900.0</v>
      </c>
      <c r="F403" s="20">
        <v>2.0</v>
      </c>
      <c r="G403" s="20">
        <v>0.9000000000000004</v>
      </c>
      <c r="I403" s="6">
        <v>0.0</v>
      </c>
      <c r="J403" s="6">
        <v>0.0</v>
      </c>
      <c r="K403" s="6">
        <v>0.0</v>
      </c>
      <c r="L403" s="6">
        <v>0.0</v>
      </c>
      <c r="M403" s="6">
        <v>0.0</v>
      </c>
      <c r="N403" s="20">
        <v>0.0</v>
      </c>
      <c r="O403" s="20">
        <v>0.0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18">
        <v>46011.770616354166</v>
      </c>
      <c r="B404" s="19">
        <v>147.0</v>
      </c>
      <c r="C404" s="19" t="s">
        <v>55</v>
      </c>
      <c r="D404" s="19" t="s">
        <v>31</v>
      </c>
      <c r="E404" s="19">
        <v>41800.0</v>
      </c>
      <c r="F404" s="20">
        <v>1.0</v>
      </c>
      <c r="G404" s="20">
        <v>51.8</v>
      </c>
      <c r="I404" s="6">
        <v>0.0</v>
      </c>
      <c r="J404" s="6">
        <v>1.0</v>
      </c>
      <c r="K404" s="6">
        <v>0.0</v>
      </c>
      <c r="L404" s="6">
        <v>0.0</v>
      </c>
      <c r="M404" s="6">
        <v>0.0</v>
      </c>
      <c r="N404" s="20">
        <v>0.0</v>
      </c>
      <c r="O404" s="20">
        <v>0.0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18">
        <v>46011.770616354166</v>
      </c>
      <c r="B405" s="19">
        <v>147.0</v>
      </c>
      <c r="C405" s="19" t="s">
        <v>56</v>
      </c>
      <c r="D405" s="19" t="s">
        <v>8</v>
      </c>
      <c r="E405" s="19">
        <v>19500.0</v>
      </c>
      <c r="F405" s="20">
        <v>3.0</v>
      </c>
      <c r="G405" s="20">
        <v>-20.5</v>
      </c>
      <c r="I405" s="6">
        <v>0.0</v>
      </c>
      <c r="J405" s="6">
        <v>0.0</v>
      </c>
      <c r="K405" s="6">
        <v>0.0</v>
      </c>
      <c r="L405" s="6">
        <v>0.0</v>
      </c>
      <c r="M405" s="6">
        <v>0.0</v>
      </c>
      <c r="N405" s="20">
        <v>0.0</v>
      </c>
      <c r="O405" s="20">
        <v>0.0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18">
        <v>46011.76055040509</v>
      </c>
      <c r="B406" s="19">
        <v>146.0</v>
      </c>
      <c r="C406" s="19" t="s">
        <v>53</v>
      </c>
      <c r="D406" s="19" t="s">
        <v>9</v>
      </c>
      <c r="E406" s="19">
        <v>19900.0</v>
      </c>
      <c r="F406" s="20">
        <v>3.0</v>
      </c>
      <c r="G406" s="20">
        <v>-20.1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  <c r="N406" s="20">
        <v>0.0</v>
      </c>
      <c r="O406" s="20">
        <v>0.0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18">
        <v>46011.76055040509</v>
      </c>
      <c r="B407" s="19">
        <v>146.0</v>
      </c>
      <c r="C407" s="19" t="s">
        <v>54</v>
      </c>
      <c r="D407" s="19" t="s">
        <v>15</v>
      </c>
      <c r="E407" s="19">
        <v>39700.0</v>
      </c>
      <c r="F407" s="20">
        <v>1.0</v>
      </c>
      <c r="G407" s="20">
        <v>49.7</v>
      </c>
      <c r="I407" s="6">
        <v>0.0</v>
      </c>
      <c r="J407" s="6">
        <v>0.0</v>
      </c>
      <c r="K407" s="6">
        <v>0.0</v>
      </c>
      <c r="L407" s="6">
        <v>0.0</v>
      </c>
      <c r="M407" s="6">
        <v>0.0</v>
      </c>
      <c r="N407" s="20">
        <v>0.0</v>
      </c>
      <c r="O407" s="20">
        <v>0.0</v>
      </c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18">
        <v>46011.76055040509</v>
      </c>
      <c r="B408" s="19">
        <v>146.0</v>
      </c>
      <c r="C408" s="19" t="s">
        <v>55</v>
      </c>
      <c r="D408" s="19" t="s">
        <v>6</v>
      </c>
      <c r="E408" s="19">
        <v>13400.0</v>
      </c>
      <c r="F408" s="20">
        <v>4.0</v>
      </c>
      <c r="G408" s="20">
        <v>-36.6</v>
      </c>
      <c r="I408" s="6">
        <v>0.0</v>
      </c>
      <c r="J408" s="6">
        <v>0.0</v>
      </c>
      <c r="K408" s="6">
        <v>0.0</v>
      </c>
      <c r="L408" s="6">
        <v>0.0</v>
      </c>
      <c r="M408" s="6">
        <v>0.0</v>
      </c>
      <c r="N408" s="20">
        <v>0.0</v>
      </c>
      <c r="O408" s="20">
        <v>0.0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18">
        <v>46011.76055040509</v>
      </c>
      <c r="B409" s="19">
        <v>146.0</v>
      </c>
      <c r="C409" s="19" t="s">
        <v>56</v>
      </c>
      <c r="D409" s="19" t="s">
        <v>14</v>
      </c>
      <c r="E409" s="19">
        <v>27000.0</v>
      </c>
      <c r="F409" s="20">
        <v>2.0</v>
      </c>
      <c r="G409" s="20">
        <v>7.0</v>
      </c>
      <c r="I409" s="6">
        <v>0.0</v>
      </c>
      <c r="J409" s="6">
        <v>0.0</v>
      </c>
      <c r="K409" s="6">
        <v>0.0</v>
      </c>
      <c r="L409" s="6">
        <v>0.0</v>
      </c>
      <c r="M409" s="6">
        <v>0.0</v>
      </c>
      <c r="N409" s="20">
        <v>0.0</v>
      </c>
      <c r="O409" s="20">
        <v>0.0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18">
        <v>46011.71956326389</v>
      </c>
      <c r="B410" s="19">
        <v>145.0</v>
      </c>
      <c r="C410" s="19" t="s">
        <v>53</v>
      </c>
      <c r="D410" s="19" t="s">
        <v>9</v>
      </c>
      <c r="E410" s="19">
        <v>24900.0</v>
      </c>
      <c r="F410" s="20">
        <v>3.0</v>
      </c>
      <c r="G410" s="20">
        <v>-15.1</v>
      </c>
      <c r="I410" s="6">
        <v>0.0</v>
      </c>
      <c r="J410" s="6">
        <v>0.0</v>
      </c>
      <c r="K410" s="6">
        <v>0.0</v>
      </c>
      <c r="L410" s="6">
        <v>0.0</v>
      </c>
      <c r="M410" s="6">
        <v>0.0</v>
      </c>
      <c r="N410" s="20">
        <v>0.0</v>
      </c>
      <c r="O410" s="20">
        <v>0.0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18">
        <v>46011.71956326389</v>
      </c>
      <c r="B411" s="19">
        <v>145.0</v>
      </c>
      <c r="C411" s="19" t="s">
        <v>54</v>
      </c>
      <c r="D411" s="19" t="s">
        <v>14</v>
      </c>
      <c r="E411" s="19">
        <v>25900.0</v>
      </c>
      <c r="F411" s="20">
        <v>2.0</v>
      </c>
      <c r="G411" s="20">
        <v>5.9</v>
      </c>
      <c r="I411" s="6">
        <v>0.0</v>
      </c>
      <c r="J411" s="6">
        <v>0.0</v>
      </c>
      <c r="K411" s="6">
        <v>0.0</v>
      </c>
      <c r="L411" s="6">
        <v>0.0</v>
      </c>
      <c r="M411" s="6">
        <v>0.0</v>
      </c>
      <c r="N411" s="20">
        <v>0.0</v>
      </c>
      <c r="O411" s="20">
        <v>0.0</v>
      </c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18">
        <v>46011.71956326389</v>
      </c>
      <c r="B412" s="19">
        <v>145.0</v>
      </c>
      <c r="C412" s="19" t="s">
        <v>55</v>
      </c>
      <c r="D412" s="19" t="s">
        <v>15</v>
      </c>
      <c r="E412" s="19">
        <v>33300.0</v>
      </c>
      <c r="F412" s="20">
        <v>1.0</v>
      </c>
      <c r="G412" s="20">
        <v>43.3</v>
      </c>
      <c r="I412" s="6">
        <v>0.0</v>
      </c>
      <c r="J412" s="6">
        <v>0.0</v>
      </c>
      <c r="K412" s="6">
        <v>0.0</v>
      </c>
      <c r="L412" s="6">
        <v>0.0</v>
      </c>
      <c r="M412" s="6">
        <v>0.0</v>
      </c>
      <c r="N412" s="20">
        <v>0.0</v>
      </c>
      <c r="O412" s="20">
        <v>0.0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18">
        <v>46011.71956326389</v>
      </c>
      <c r="B413" s="19">
        <v>145.0</v>
      </c>
      <c r="C413" s="19" t="s">
        <v>56</v>
      </c>
      <c r="D413" s="19" t="s">
        <v>6</v>
      </c>
      <c r="E413" s="19">
        <v>15900.0</v>
      </c>
      <c r="F413" s="20">
        <v>4.0</v>
      </c>
      <c r="G413" s="20">
        <v>-34.1</v>
      </c>
      <c r="I413" s="6">
        <v>0.0</v>
      </c>
      <c r="J413" s="6">
        <v>0.0</v>
      </c>
      <c r="K413" s="6">
        <v>0.0</v>
      </c>
      <c r="L413" s="6">
        <v>0.0</v>
      </c>
      <c r="M413" s="6">
        <v>0.0</v>
      </c>
      <c r="N413" s="20">
        <v>0.0</v>
      </c>
      <c r="O413" s="20">
        <v>0.0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18">
        <v>46011.6780709375</v>
      </c>
      <c r="B414" s="19">
        <v>144.0</v>
      </c>
      <c r="C414" s="19" t="s">
        <v>53</v>
      </c>
      <c r="D414" s="19" t="s">
        <v>15</v>
      </c>
      <c r="E414" s="19">
        <v>42000.0</v>
      </c>
      <c r="F414" s="20">
        <v>1.0</v>
      </c>
      <c r="G414" s="20">
        <v>52.0</v>
      </c>
      <c r="I414" s="6">
        <v>1.0</v>
      </c>
      <c r="J414" s="6">
        <v>0.0</v>
      </c>
      <c r="K414" s="6">
        <v>0.0</v>
      </c>
      <c r="L414" s="6">
        <v>0.0</v>
      </c>
      <c r="M414" s="6">
        <v>0.0</v>
      </c>
      <c r="N414" s="20">
        <v>0.0</v>
      </c>
      <c r="O414" s="20">
        <v>0.0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18">
        <v>46011.6780709375</v>
      </c>
      <c r="B415" s="19">
        <v>144.0</v>
      </c>
      <c r="C415" s="19" t="s">
        <v>54</v>
      </c>
      <c r="D415" s="19" t="s">
        <v>9</v>
      </c>
      <c r="E415" s="19">
        <v>35700.0</v>
      </c>
      <c r="F415" s="20">
        <v>2.0</v>
      </c>
      <c r="G415" s="20">
        <v>15.7</v>
      </c>
      <c r="I415" s="6">
        <v>0.0</v>
      </c>
      <c r="J415" s="6">
        <v>0.0</v>
      </c>
      <c r="K415" s="6">
        <v>0.0</v>
      </c>
      <c r="L415" s="6">
        <v>0.0</v>
      </c>
      <c r="M415" s="6">
        <v>0.0</v>
      </c>
      <c r="N415" s="20">
        <v>0.0</v>
      </c>
      <c r="O415" s="20">
        <v>0.0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18">
        <v>46011.6780709375</v>
      </c>
      <c r="B416" s="19">
        <v>144.0</v>
      </c>
      <c r="C416" s="19" t="s">
        <v>55</v>
      </c>
      <c r="D416" s="19" t="s">
        <v>14</v>
      </c>
      <c r="E416" s="19">
        <v>21700.0</v>
      </c>
      <c r="F416" s="20">
        <v>3.0</v>
      </c>
      <c r="G416" s="20">
        <v>-18.3</v>
      </c>
      <c r="I416" s="6">
        <v>0.0</v>
      </c>
      <c r="J416" s="6">
        <v>0.0</v>
      </c>
      <c r="K416" s="6">
        <v>0.0</v>
      </c>
      <c r="L416" s="6">
        <v>0.0</v>
      </c>
      <c r="M416" s="6">
        <v>0.0</v>
      </c>
      <c r="N416" s="20">
        <v>0.0</v>
      </c>
      <c r="O416" s="20">
        <v>0.0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18">
        <v>46011.6780709375</v>
      </c>
      <c r="B417" s="19">
        <v>144.0</v>
      </c>
      <c r="C417" s="19" t="s">
        <v>56</v>
      </c>
      <c r="D417" s="19" t="s">
        <v>31</v>
      </c>
      <c r="E417" s="19">
        <v>600.0</v>
      </c>
      <c r="F417" s="20">
        <v>4.0</v>
      </c>
      <c r="G417" s="20">
        <v>-49.4</v>
      </c>
      <c r="I417" s="6">
        <v>0.0</v>
      </c>
      <c r="J417" s="6">
        <v>0.0</v>
      </c>
      <c r="K417" s="6">
        <v>0.0</v>
      </c>
      <c r="L417" s="6">
        <v>0.0</v>
      </c>
      <c r="M417" s="6">
        <v>0.0</v>
      </c>
      <c r="N417" s="20">
        <v>0.0</v>
      </c>
      <c r="O417" s="20">
        <v>0.0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18">
        <v>46011.63466459491</v>
      </c>
      <c r="B418" s="19">
        <v>143.0</v>
      </c>
      <c r="C418" s="19" t="s">
        <v>53</v>
      </c>
      <c r="D418" s="19" t="s">
        <v>9</v>
      </c>
      <c r="E418" s="19">
        <v>11300.0</v>
      </c>
      <c r="F418" s="20">
        <v>4.0</v>
      </c>
      <c r="G418" s="20">
        <v>-38.7</v>
      </c>
      <c r="I418" s="6">
        <v>0.0</v>
      </c>
      <c r="J418" s="6">
        <v>0.0</v>
      </c>
      <c r="K418" s="6">
        <v>0.0</v>
      </c>
      <c r="L418" s="6">
        <v>0.0</v>
      </c>
      <c r="M418" s="6">
        <v>0.0</v>
      </c>
      <c r="N418" s="20">
        <v>0.0</v>
      </c>
      <c r="O418" s="20">
        <v>0.0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18">
        <v>46011.63466459491</v>
      </c>
      <c r="B419" s="19">
        <v>143.0</v>
      </c>
      <c r="C419" s="19" t="s">
        <v>54</v>
      </c>
      <c r="D419" s="19" t="s">
        <v>15</v>
      </c>
      <c r="E419" s="19">
        <v>26100.0</v>
      </c>
      <c r="F419" s="20">
        <v>3.0</v>
      </c>
      <c r="G419" s="20">
        <v>-13.9</v>
      </c>
      <c r="I419" s="6">
        <v>0.0</v>
      </c>
      <c r="J419" s="6">
        <v>0.0</v>
      </c>
      <c r="K419" s="6">
        <v>0.0</v>
      </c>
      <c r="L419" s="6">
        <v>0.0</v>
      </c>
      <c r="M419" s="6">
        <v>0.0</v>
      </c>
      <c r="N419" s="20">
        <v>0.0</v>
      </c>
      <c r="O419" s="20">
        <v>0.0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18">
        <v>46011.63466459491</v>
      </c>
      <c r="B420" s="19">
        <v>143.0</v>
      </c>
      <c r="C420" s="19" t="s">
        <v>55</v>
      </c>
      <c r="D420" s="19" t="s">
        <v>6</v>
      </c>
      <c r="E420" s="19">
        <v>31100.0</v>
      </c>
      <c r="F420" s="20">
        <v>2.0</v>
      </c>
      <c r="G420" s="20">
        <v>11.1</v>
      </c>
      <c r="I420" s="6">
        <v>0.0</v>
      </c>
      <c r="J420" s="6">
        <v>0.0</v>
      </c>
      <c r="K420" s="6">
        <v>0.0</v>
      </c>
      <c r="L420" s="6">
        <v>0.0</v>
      </c>
      <c r="M420" s="6">
        <v>0.0</v>
      </c>
      <c r="N420" s="20">
        <v>0.0</v>
      </c>
      <c r="O420" s="20">
        <v>0.0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18">
        <v>46011.63466459491</v>
      </c>
      <c r="B421" s="19">
        <v>143.0</v>
      </c>
      <c r="C421" s="19" t="s">
        <v>56</v>
      </c>
      <c r="D421" s="19" t="s">
        <v>14</v>
      </c>
      <c r="E421" s="19">
        <v>31500.0</v>
      </c>
      <c r="F421" s="20">
        <v>1.0</v>
      </c>
      <c r="G421" s="20">
        <v>41.5</v>
      </c>
      <c r="I421" s="6">
        <v>0.0</v>
      </c>
      <c r="J421" s="6">
        <v>0.0</v>
      </c>
      <c r="K421" s="6">
        <v>0.0</v>
      </c>
      <c r="L421" s="6">
        <v>0.0</v>
      </c>
      <c r="M421" s="6">
        <v>0.0</v>
      </c>
      <c r="N421" s="20">
        <v>0.0</v>
      </c>
      <c r="O421" s="20">
        <v>0.0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18">
        <v>46011.59535030092</v>
      </c>
      <c r="B422" s="19">
        <v>142.0</v>
      </c>
      <c r="C422" s="19" t="s">
        <v>53</v>
      </c>
      <c r="D422" s="19" t="s">
        <v>14</v>
      </c>
      <c r="E422" s="19">
        <v>18300.0</v>
      </c>
      <c r="F422" s="20">
        <v>2.0</v>
      </c>
      <c r="G422" s="20">
        <v>-1.6999999999999993</v>
      </c>
      <c r="I422" s="6">
        <v>0.0</v>
      </c>
      <c r="J422" s="6">
        <v>0.0</v>
      </c>
      <c r="K422" s="6">
        <v>0.0</v>
      </c>
      <c r="L422" s="6">
        <v>0.0</v>
      </c>
      <c r="M422" s="6">
        <v>0.0</v>
      </c>
      <c r="N422" s="20">
        <v>0.0</v>
      </c>
      <c r="O422" s="20">
        <v>0.0</v>
      </c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18">
        <v>46011.59535030092</v>
      </c>
      <c r="B423" s="19">
        <v>142.0</v>
      </c>
      <c r="C423" s="19" t="s">
        <v>54</v>
      </c>
      <c r="D423" s="19" t="s">
        <v>9</v>
      </c>
      <c r="E423" s="19">
        <v>48500.0</v>
      </c>
      <c r="F423" s="20">
        <v>1.0</v>
      </c>
      <c r="G423" s="20">
        <v>58.5</v>
      </c>
      <c r="I423" s="6">
        <v>0.0</v>
      </c>
      <c r="J423" s="6">
        <v>0.0</v>
      </c>
      <c r="K423" s="6">
        <v>0.0</v>
      </c>
      <c r="L423" s="6">
        <v>0.0</v>
      </c>
      <c r="M423" s="6">
        <v>0.0</v>
      </c>
      <c r="N423" s="20">
        <v>0.0</v>
      </c>
      <c r="O423" s="20">
        <v>0.0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18">
        <v>46011.59535030092</v>
      </c>
      <c r="B424" s="19">
        <v>142.0</v>
      </c>
      <c r="C424" s="19" t="s">
        <v>55</v>
      </c>
      <c r="D424" s="19" t="s">
        <v>15</v>
      </c>
      <c r="E424" s="19">
        <v>15400.0</v>
      </c>
      <c r="F424" s="20">
        <v>4.0</v>
      </c>
      <c r="G424" s="20">
        <v>-34.6</v>
      </c>
      <c r="I424" s="6">
        <v>0.0</v>
      </c>
      <c r="J424" s="6">
        <v>0.0</v>
      </c>
      <c r="K424" s="6">
        <v>0.0</v>
      </c>
      <c r="L424" s="6">
        <v>0.0</v>
      </c>
      <c r="M424" s="6">
        <v>0.0</v>
      </c>
      <c r="N424" s="20">
        <v>0.0</v>
      </c>
      <c r="O424" s="20">
        <v>0.0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18">
        <v>46011.59535030092</v>
      </c>
      <c r="B425" s="19">
        <v>142.0</v>
      </c>
      <c r="C425" s="19" t="s">
        <v>56</v>
      </c>
      <c r="D425" s="19" t="s">
        <v>6</v>
      </c>
      <c r="E425" s="19">
        <v>17800.0</v>
      </c>
      <c r="F425" s="20">
        <v>3.0</v>
      </c>
      <c r="G425" s="20">
        <v>-22.2</v>
      </c>
      <c r="I425" s="6">
        <v>0.0</v>
      </c>
      <c r="J425" s="6">
        <v>0.0</v>
      </c>
      <c r="K425" s="6">
        <v>0.0</v>
      </c>
      <c r="L425" s="6">
        <v>0.0</v>
      </c>
      <c r="M425" s="6">
        <v>0.0</v>
      </c>
      <c r="N425" s="20">
        <v>0.0</v>
      </c>
      <c r="O425" s="20">
        <v>0.0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18">
        <v>46011.55315961805</v>
      </c>
      <c r="B426" s="19">
        <v>141.0</v>
      </c>
      <c r="C426" s="19" t="s">
        <v>53</v>
      </c>
      <c r="D426" s="19" t="s">
        <v>17</v>
      </c>
      <c r="E426" s="19">
        <v>1200.0</v>
      </c>
      <c r="F426" s="20">
        <v>4.0</v>
      </c>
      <c r="G426" s="20">
        <v>-48.8</v>
      </c>
      <c r="I426" s="6">
        <v>0.0</v>
      </c>
      <c r="J426" s="6">
        <v>0.0</v>
      </c>
      <c r="K426" s="6">
        <v>0.0</v>
      </c>
      <c r="L426" s="6">
        <v>0.0</v>
      </c>
      <c r="M426" s="6">
        <v>0.0</v>
      </c>
      <c r="N426" s="20">
        <v>0.0</v>
      </c>
      <c r="O426" s="20">
        <v>0.0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18">
        <v>46011.55315961805</v>
      </c>
      <c r="B427" s="19">
        <v>141.0</v>
      </c>
      <c r="C427" s="19" t="s">
        <v>54</v>
      </c>
      <c r="D427" s="19" t="s">
        <v>31</v>
      </c>
      <c r="E427" s="19">
        <v>15200.0</v>
      </c>
      <c r="F427" s="20">
        <v>3.0</v>
      </c>
      <c r="G427" s="20">
        <v>-24.8</v>
      </c>
      <c r="I427" s="6">
        <v>0.0</v>
      </c>
      <c r="J427" s="6">
        <v>0.0</v>
      </c>
      <c r="K427" s="6">
        <v>0.0</v>
      </c>
      <c r="L427" s="6">
        <v>0.0</v>
      </c>
      <c r="M427" s="6">
        <v>0.0</v>
      </c>
      <c r="N427" s="20">
        <v>0.0</v>
      </c>
      <c r="O427" s="20">
        <v>0.0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18">
        <v>46011.55315961805</v>
      </c>
      <c r="B428" s="19">
        <v>141.0</v>
      </c>
      <c r="C428" s="19" t="s">
        <v>55</v>
      </c>
      <c r="D428" s="19" t="s">
        <v>14</v>
      </c>
      <c r="E428" s="19">
        <v>55400.0</v>
      </c>
      <c r="F428" s="20">
        <v>1.0</v>
      </c>
      <c r="G428" s="20">
        <v>65.4</v>
      </c>
      <c r="I428" s="6">
        <v>2.0</v>
      </c>
      <c r="J428" s="6">
        <v>1.0</v>
      </c>
      <c r="K428" s="6">
        <v>0.0</v>
      </c>
      <c r="L428" s="6">
        <v>0.0</v>
      </c>
      <c r="M428" s="6">
        <v>0.0</v>
      </c>
      <c r="N428" s="20">
        <v>0.0</v>
      </c>
      <c r="O428" s="20">
        <v>0.0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18">
        <v>46011.55315961805</v>
      </c>
      <c r="B429" s="19">
        <v>141.0</v>
      </c>
      <c r="C429" s="19" t="s">
        <v>56</v>
      </c>
      <c r="D429" s="19" t="s">
        <v>13</v>
      </c>
      <c r="E429" s="19">
        <v>28200.0</v>
      </c>
      <c r="F429" s="20">
        <v>2.0</v>
      </c>
      <c r="G429" s="20">
        <v>8.2</v>
      </c>
      <c r="I429" s="6">
        <v>1.0</v>
      </c>
      <c r="J429" s="6">
        <v>0.0</v>
      </c>
      <c r="K429" s="6">
        <v>0.0</v>
      </c>
      <c r="L429" s="6">
        <v>0.0</v>
      </c>
      <c r="M429" s="6">
        <v>0.0</v>
      </c>
      <c r="N429" s="20">
        <v>0.0</v>
      </c>
      <c r="O429" s="20">
        <v>0.0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18">
        <v>46011.54974318287</v>
      </c>
      <c r="B430" s="19">
        <v>140.0</v>
      </c>
      <c r="C430" s="19" t="s">
        <v>53</v>
      </c>
      <c r="D430" s="19" t="s">
        <v>6</v>
      </c>
      <c r="E430" s="19">
        <v>29500.0</v>
      </c>
      <c r="F430" s="20">
        <v>2.0</v>
      </c>
      <c r="G430" s="20">
        <v>9.5</v>
      </c>
      <c r="I430" s="6">
        <v>0.0</v>
      </c>
      <c r="J430" s="6">
        <v>0.0</v>
      </c>
      <c r="K430" s="6">
        <v>0.0</v>
      </c>
      <c r="L430" s="6">
        <v>0.0</v>
      </c>
      <c r="M430" s="6">
        <v>0.0</v>
      </c>
      <c r="N430" s="20">
        <v>0.0</v>
      </c>
      <c r="O430" s="20">
        <v>0.0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18">
        <v>46011.54974318287</v>
      </c>
      <c r="B431" s="19">
        <v>140.0</v>
      </c>
      <c r="C431" s="19" t="s">
        <v>54</v>
      </c>
      <c r="D431" s="19" t="s">
        <v>8</v>
      </c>
      <c r="E431" s="19">
        <v>12300.0</v>
      </c>
      <c r="F431" s="20">
        <v>4.0</v>
      </c>
      <c r="G431" s="20">
        <v>-37.7</v>
      </c>
      <c r="I431" s="6">
        <v>0.0</v>
      </c>
      <c r="J431" s="6">
        <v>0.0</v>
      </c>
      <c r="K431" s="6">
        <v>0.0</v>
      </c>
      <c r="L431" s="6">
        <v>0.0</v>
      </c>
      <c r="M431" s="6">
        <v>0.0</v>
      </c>
      <c r="N431" s="20">
        <v>0.0</v>
      </c>
      <c r="O431" s="20">
        <v>0.0</v>
      </c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18">
        <v>46011.54974318287</v>
      </c>
      <c r="B432" s="19">
        <v>140.0</v>
      </c>
      <c r="C432" s="19" t="s">
        <v>55</v>
      </c>
      <c r="D432" s="19" t="s">
        <v>15</v>
      </c>
      <c r="E432" s="19">
        <v>26600.0</v>
      </c>
      <c r="F432" s="20">
        <v>3.0</v>
      </c>
      <c r="G432" s="20">
        <v>-13.4</v>
      </c>
      <c r="I432" s="6">
        <v>0.0</v>
      </c>
      <c r="J432" s="6">
        <v>0.0</v>
      </c>
      <c r="K432" s="6">
        <v>0.0</v>
      </c>
      <c r="L432" s="6">
        <v>0.0</v>
      </c>
      <c r="M432" s="6">
        <v>0.0</v>
      </c>
      <c r="N432" s="20">
        <v>0.0</v>
      </c>
      <c r="O432" s="20">
        <v>0.0</v>
      </c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18">
        <v>46011.54974318287</v>
      </c>
      <c r="B433" s="19">
        <v>140.0</v>
      </c>
      <c r="C433" s="19" t="s">
        <v>56</v>
      </c>
      <c r="D433" s="19" t="s">
        <v>9</v>
      </c>
      <c r="E433" s="19">
        <v>31600.0</v>
      </c>
      <c r="F433" s="20">
        <v>1.0</v>
      </c>
      <c r="G433" s="20">
        <v>41.6</v>
      </c>
      <c r="I433" s="6">
        <v>0.0</v>
      </c>
      <c r="J433" s="6">
        <v>0.0</v>
      </c>
      <c r="K433" s="6">
        <v>0.0</v>
      </c>
      <c r="L433" s="6">
        <v>0.0</v>
      </c>
      <c r="M433" s="6">
        <v>0.0</v>
      </c>
      <c r="N433" s="20">
        <v>0.0</v>
      </c>
      <c r="O433" s="20">
        <v>0.0</v>
      </c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18">
        <v>46005.88987158565</v>
      </c>
      <c r="B434" s="19">
        <v>139.0</v>
      </c>
      <c r="C434" s="19" t="s">
        <v>53</v>
      </c>
      <c r="D434" s="19" t="s">
        <v>8</v>
      </c>
      <c r="E434" s="19">
        <v>12300.0</v>
      </c>
      <c r="F434" s="20">
        <v>3.0</v>
      </c>
      <c r="G434" s="20">
        <v>-27.7</v>
      </c>
      <c r="I434" s="6">
        <v>0.0</v>
      </c>
      <c r="J434" s="6">
        <v>0.0</v>
      </c>
      <c r="K434" s="6">
        <v>0.0</v>
      </c>
      <c r="L434" s="6">
        <v>0.0</v>
      </c>
      <c r="M434" s="6">
        <v>0.0</v>
      </c>
      <c r="N434" s="20">
        <v>0.0</v>
      </c>
      <c r="O434" s="20">
        <v>0.0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18">
        <v>46005.88987158565</v>
      </c>
      <c r="B435" s="19">
        <v>139.0</v>
      </c>
      <c r="C435" s="19" t="s">
        <v>54</v>
      </c>
      <c r="D435" s="19" t="s">
        <v>7</v>
      </c>
      <c r="E435" s="19">
        <v>58700.0</v>
      </c>
      <c r="F435" s="20">
        <v>1.0</v>
      </c>
      <c r="G435" s="20">
        <v>68.7</v>
      </c>
      <c r="I435" s="6">
        <v>1.0</v>
      </c>
      <c r="J435" s="6">
        <v>0.0</v>
      </c>
      <c r="K435" s="6">
        <v>0.0</v>
      </c>
      <c r="L435" s="6">
        <v>0.0</v>
      </c>
      <c r="M435" s="6">
        <v>0.0</v>
      </c>
      <c r="N435" s="20">
        <v>0.0</v>
      </c>
      <c r="O435" s="20">
        <v>0.0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18">
        <v>46005.88987158565</v>
      </c>
      <c r="B436" s="19">
        <v>139.0</v>
      </c>
      <c r="C436" s="19" t="s">
        <v>55</v>
      </c>
      <c r="D436" s="19" t="s">
        <v>6</v>
      </c>
      <c r="E436" s="19">
        <v>11300.0</v>
      </c>
      <c r="F436" s="20">
        <v>4.0</v>
      </c>
      <c r="G436" s="20">
        <v>-38.7</v>
      </c>
      <c r="I436" s="6">
        <v>0.0</v>
      </c>
      <c r="J436" s="6">
        <v>0.0</v>
      </c>
      <c r="K436" s="6">
        <v>0.0</v>
      </c>
      <c r="L436" s="6">
        <v>0.0</v>
      </c>
      <c r="M436" s="6">
        <v>0.0</v>
      </c>
      <c r="N436" s="20">
        <v>0.0</v>
      </c>
      <c r="O436" s="20">
        <v>0.0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18">
        <v>46005.88987158565</v>
      </c>
      <c r="B437" s="19">
        <v>139.0</v>
      </c>
      <c r="C437" s="19" t="s">
        <v>56</v>
      </c>
      <c r="D437" s="19" t="s">
        <v>9</v>
      </c>
      <c r="E437" s="19">
        <v>17700.0</v>
      </c>
      <c r="F437" s="20">
        <v>2.0</v>
      </c>
      <c r="G437" s="20">
        <v>-2.3000000000000007</v>
      </c>
      <c r="I437" s="6">
        <v>1.0</v>
      </c>
      <c r="J437" s="6">
        <v>0.0</v>
      </c>
      <c r="K437" s="6">
        <v>0.0</v>
      </c>
      <c r="L437" s="6">
        <v>0.0</v>
      </c>
      <c r="M437" s="6">
        <v>0.0</v>
      </c>
      <c r="N437" s="20">
        <v>0.0</v>
      </c>
      <c r="O437" s="20">
        <v>0.0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18">
        <v>46005.82002866898</v>
      </c>
      <c r="B438" s="19">
        <v>138.0</v>
      </c>
      <c r="C438" s="19" t="s">
        <v>53</v>
      </c>
      <c r="D438" s="19" t="s">
        <v>6</v>
      </c>
      <c r="E438" s="19">
        <v>36100.0</v>
      </c>
      <c r="F438" s="20">
        <v>1.0</v>
      </c>
      <c r="G438" s="20">
        <v>46.1</v>
      </c>
      <c r="I438" s="6">
        <v>1.0</v>
      </c>
      <c r="J438" s="6">
        <v>0.0</v>
      </c>
      <c r="K438" s="6">
        <v>0.0</v>
      </c>
      <c r="L438" s="6">
        <v>0.0</v>
      </c>
      <c r="M438" s="6">
        <v>0.0</v>
      </c>
      <c r="N438" s="20">
        <v>0.0</v>
      </c>
      <c r="O438" s="20">
        <v>0.0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18">
        <v>46005.82002866898</v>
      </c>
      <c r="B439" s="19">
        <v>138.0</v>
      </c>
      <c r="C439" s="19" t="s">
        <v>54</v>
      </c>
      <c r="D439" s="19" t="s">
        <v>8</v>
      </c>
      <c r="E439" s="19">
        <v>26500.0</v>
      </c>
      <c r="F439" s="20">
        <v>3.0</v>
      </c>
      <c r="G439" s="20">
        <v>-13.5</v>
      </c>
      <c r="I439" s="6">
        <v>0.0</v>
      </c>
      <c r="J439" s="6">
        <v>1.0</v>
      </c>
      <c r="K439" s="6">
        <v>0.0</v>
      </c>
      <c r="L439" s="6">
        <v>0.0</v>
      </c>
      <c r="M439" s="6">
        <v>0.0</v>
      </c>
      <c r="N439" s="20">
        <v>0.0</v>
      </c>
      <c r="O439" s="20">
        <v>0.0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18">
        <v>46005.82002866898</v>
      </c>
      <c r="B440" s="19">
        <v>138.0</v>
      </c>
      <c r="C440" s="19" t="s">
        <v>55</v>
      </c>
      <c r="D440" s="19" t="s">
        <v>9</v>
      </c>
      <c r="E440" s="19">
        <v>31300.0</v>
      </c>
      <c r="F440" s="20">
        <v>2.0</v>
      </c>
      <c r="G440" s="20">
        <v>11.3</v>
      </c>
      <c r="I440" s="6">
        <v>0.0</v>
      </c>
      <c r="J440" s="6">
        <v>1.0</v>
      </c>
      <c r="K440" s="6">
        <v>0.0</v>
      </c>
      <c r="L440" s="6">
        <v>0.0</v>
      </c>
      <c r="M440" s="6">
        <v>0.0</v>
      </c>
      <c r="N440" s="20">
        <v>0.0</v>
      </c>
      <c r="O440" s="20">
        <v>0.0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18">
        <v>46005.82002866898</v>
      </c>
      <c r="B441" s="19">
        <v>138.0</v>
      </c>
      <c r="C441" s="19" t="s">
        <v>56</v>
      </c>
      <c r="D441" s="19" t="s">
        <v>7</v>
      </c>
      <c r="E441" s="19">
        <v>6100.0</v>
      </c>
      <c r="F441" s="20">
        <v>4.0</v>
      </c>
      <c r="G441" s="20">
        <v>-43.9</v>
      </c>
      <c r="I441" s="6">
        <v>0.0</v>
      </c>
      <c r="J441" s="6">
        <v>0.0</v>
      </c>
      <c r="K441" s="6">
        <v>0.0</v>
      </c>
      <c r="L441" s="6">
        <v>0.0</v>
      </c>
      <c r="M441" s="6">
        <v>0.0</v>
      </c>
      <c r="N441" s="20">
        <v>0.0</v>
      </c>
      <c r="O441" s="20">
        <v>0.0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18">
        <v>46005.73853511574</v>
      </c>
      <c r="B442" s="19">
        <v>137.0</v>
      </c>
      <c r="C442" s="19" t="s">
        <v>53</v>
      </c>
      <c r="D442" s="19" t="s">
        <v>8</v>
      </c>
      <c r="E442" s="19">
        <v>22300.0</v>
      </c>
      <c r="F442" s="20">
        <v>3.0</v>
      </c>
      <c r="G442" s="20">
        <v>-17.7</v>
      </c>
      <c r="I442" s="6">
        <v>0.0</v>
      </c>
      <c r="J442" s="6">
        <v>0.0</v>
      </c>
      <c r="K442" s="6">
        <v>0.0</v>
      </c>
      <c r="L442" s="6">
        <v>0.0</v>
      </c>
      <c r="M442" s="6">
        <v>0.0</v>
      </c>
      <c r="N442" s="20">
        <v>0.0</v>
      </c>
      <c r="O442" s="20">
        <v>0.0</v>
      </c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18">
        <v>46005.73853511574</v>
      </c>
      <c r="B443" s="19">
        <v>137.0</v>
      </c>
      <c r="C443" s="19" t="s">
        <v>54</v>
      </c>
      <c r="D443" s="19" t="s">
        <v>6</v>
      </c>
      <c r="E443" s="19">
        <v>39300.0</v>
      </c>
      <c r="F443" s="20">
        <v>2.0</v>
      </c>
      <c r="G443" s="20">
        <v>19.3</v>
      </c>
      <c r="I443" s="6">
        <v>0.0</v>
      </c>
      <c r="J443" s="6">
        <v>0.0</v>
      </c>
      <c r="K443" s="6">
        <v>0.0</v>
      </c>
      <c r="L443" s="6">
        <v>0.0</v>
      </c>
      <c r="M443" s="6">
        <v>0.0</v>
      </c>
      <c r="N443" s="20">
        <v>0.0</v>
      </c>
      <c r="O443" s="20">
        <v>0.0</v>
      </c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18">
        <v>46005.73853511574</v>
      </c>
      <c r="B444" s="19">
        <v>137.0</v>
      </c>
      <c r="C444" s="19" t="s">
        <v>55</v>
      </c>
      <c r="D444" s="19" t="s">
        <v>9</v>
      </c>
      <c r="E444" s="19">
        <v>39800.0</v>
      </c>
      <c r="F444" s="20">
        <v>1.0</v>
      </c>
      <c r="G444" s="20">
        <v>49.8</v>
      </c>
      <c r="I444" s="6">
        <v>0.0</v>
      </c>
      <c r="J444" s="6">
        <v>0.0</v>
      </c>
      <c r="K444" s="6">
        <v>0.0</v>
      </c>
      <c r="L444" s="6">
        <v>0.0</v>
      </c>
      <c r="M444" s="6">
        <v>0.0</v>
      </c>
      <c r="N444" s="20">
        <v>0.0</v>
      </c>
      <c r="O444" s="20">
        <v>0.0</v>
      </c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18">
        <v>46005.73853511574</v>
      </c>
      <c r="B445" s="19">
        <v>137.0</v>
      </c>
      <c r="C445" s="19" t="s">
        <v>56</v>
      </c>
      <c r="D445" s="19" t="s">
        <v>7</v>
      </c>
      <c r="E445" s="19">
        <v>-1400.0</v>
      </c>
      <c r="F445" s="20">
        <v>4.0</v>
      </c>
      <c r="G445" s="20">
        <v>-51.4</v>
      </c>
      <c r="I445" s="6">
        <v>0.0</v>
      </c>
      <c r="J445" s="6">
        <v>0.0</v>
      </c>
      <c r="K445" s="6">
        <v>0.0</v>
      </c>
      <c r="L445" s="6">
        <v>0.0</v>
      </c>
      <c r="M445" s="6">
        <v>0.0</v>
      </c>
      <c r="N445" s="20">
        <v>0.0</v>
      </c>
      <c r="O445" s="20">
        <v>0.0</v>
      </c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18">
        <v>46005.685774004625</v>
      </c>
      <c r="B446" s="19">
        <v>136.0</v>
      </c>
      <c r="C446" s="19" t="s">
        <v>53</v>
      </c>
      <c r="D446" s="19" t="s">
        <v>7</v>
      </c>
      <c r="E446" s="19">
        <v>39700.0</v>
      </c>
      <c r="F446" s="20">
        <v>1.0</v>
      </c>
      <c r="G446" s="20">
        <v>49.7</v>
      </c>
      <c r="I446" s="6">
        <v>1.0</v>
      </c>
      <c r="J446" s="6">
        <v>0.0</v>
      </c>
      <c r="K446" s="6">
        <v>0.0</v>
      </c>
      <c r="L446" s="6">
        <v>0.0</v>
      </c>
      <c r="M446" s="6">
        <v>0.0</v>
      </c>
      <c r="N446" s="20">
        <v>0.0</v>
      </c>
      <c r="O446" s="20">
        <v>0.0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18">
        <v>46005.685774004625</v>
      </c>
      <c r="B447" s="19">
        <v>136.0</v>
      </c>
      <c r="C447" s="19" t="s">
        <v>54</v>
      </c>
      <c r="D447" s="19" t="s">
        <v>8</v>
      </c>
      <c r="E447" s="19">
        <v>5700.0</v>
      </c>
      <c r="F447" s="20">
        <v>4.0</v>
      </c>
      <c r="G447" s="20">
        <v>-44.3</v>
      </c>
      <c r="I447" s="6">
        <v>0.0</v>
      </c>
      <c r="J447" s="6">
        <v>0.0</v>
      </c>
      <c r="K447" s="6">
        <v>0.0</v>
      </c>
      <c r="L447" s="6">
        <v>0.0</v>
      </c>
      <c r="M447" s="6">
        <v>0.0</v>
      </c>
      <c r="N447" s="20">
        <v>0.0</v>
      </c>
      <c r="O447" s="20">
        <v>0.0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18">
        <v>46005.685774004625</v>
      </c>
      <c r="B448" s="19">
        <v>136.0</v>
      </c>
      <c r="C448" s="19" t="s">
        <v>55</v>
      </c>
      <c r="D448" s="19" t="s">
        <v>6</v>
      </c>
      <c r="E448" s="19">
        <v>19600.0</v>
      </c>
      <c r="F448" s="20">
        <v>3.0</v>
      </c>
      <c r="G448" s="20">
        <v>-20.4</v>
      </c>
      <c r="I448" s="6">
        <v>0.0</v>
      </c>
      <c r="J448" s="6">
        <v>0.0</v>
      </c>
      <c r="K448" s="6">
        <v>0.0</v>
      </c>
      <c r="L448" s="6">
        <v>0.0</v>
      </c>
      <c r="M448" s="6">
        <v>0.0</v>
      </c>
      <c r="N448" s="20">
        <v>0.0</v>
      </c>
      <c r="O448" s="20">
        <v>0.0</v>
      </c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18">
        <v>46005.685774004625</v>
      </c>
      <c r="B449" s="19">
        <v>136.0</v>
      </c>
      <c r="C449" s="19" t="s">
        <v>56</v>
      </c>
      <c r="D449" s="19" t="s">
        <v>9</v>
      </c>
      <c r="E449" s="19">
        <v>35000.0</v>
      </c>
      <c r="F449" s="20">
        <v>2.0</v>
      </c>
      <c r="G449" s="20">
        <v>15.0</v>
      </c>
      <c r="I449" s="6">
        <v>0.0</v>
      </c>
      <c r="J449" s="6">
        <v>1.0</v>
      </c>
      <c r="K449" s="6">
        <v>0.0</v>
      </c>
      <c r="L449" s="6">
        <v>0.0</v>
      </c>
      <c r="M449" s="6">
        <v>0.0</v>
      </c>
      <c r="N449" s="20">
        <v>0.0</v>
      </c>
      <c r="O449" s="20">
        <v>0.0</v>
      </c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18">
        <v>46005.64454165509</v>
      </c>
      <c r="B450" s="19">
        <v>135.0</v>
      </c>
      <c r="C450" s="19" t="s">
        <v>53</v>
      </c>
      <c r="D450" s="19" t="s">
        <v>6</v>
      </c>
      <c r="E450" s="19">
        <v>52600.0</v>
      </c>
      <c r="F450" s="20">
        <v>1.0</v>
      </c>
      <c r="G450" s="20">
        <v>62.6</v>
      </c>
      <c r="I450" s="6">
        <v>1.0</v>
      </c>
      <c r="J450" s="6">
        <v>0.0</v>
      </c>
      <c r="K450" s="6">
        <v>0.0</v>
      </c>
      <c r="L450" s="6">
        <v>0.0</v>
      </c>
      <c r="M450" s="6">
        <v>0.0</v>
      </c>
      <c r="N450" s="20">
        <v>0.0</v>
      </c>
      <c r="O450" s="20">
        <v>0.0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18">
        <v>46005.64454165509</v>
      </c>
      <c r="B451" s="19">
        <v>135.0</v>
      </c>
      <c r="C451" s="19" t="s">
        <v>54</v>
      </c>
      <c r="D451" s="19" t="s">
        <v>7</v>
      </c>
      <c r="E451" s="19">
        <v>18200.0</v>
      </c>
      <c r="F451" s="20">
        <v>3.0</v>
      </c>
      <c r="G451" s="20">
        <v>-21.8</v>
      </c>
      <c r="I451" s="6">
        <v>0.0</v>
      </c>
      <c r="J451" s="6">
        <v>1.0</v>
      </c>
      <c r="K451" s="6">
        <v>0.0</v>
      </c>
      <c r="L451" s="6">
        <v>0.0</v>
      </c>
      <c r="M451" s="6">
        <v>0.0</v>
      </c>
      <c r="N451" s="20">
        <v>0.0</v>
      </c>
      <c r="O451" s="20">
        <v>0.0</v>
      </c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18">
        <v>46005.64454165509</v>
      </c>
      <c r="B452" s="19">
        <v>135.0</v>
      </c>
      <c r="C452" s="19" t="s">
        <v>55</v>
      </c>
      <c r="D452" s="19" t="s">
        <v>8</v>
      </c>
      <c r="E452" s="19">
        <v>4300.0</v>
      </c>
      <c r="F452" s="20">
        <v>4.0</v>
      </c>
      <c r="G452" s="20">
        <v>-45.7</v>
      </c>
      <c r="I452" s="6">
        <v>0.0</v>
      </c>
      <c r="J452" s="6">
        <v>0.0</v>
      </c>
      <c r="K452" s="6">
        <v>0.0</v>
      </c>
      <c r="L452" s="6">
        <v>0.0</v>
      </c>
      <c r="M452" s="6">
        <v>0.0</v>
      </c>
      <c r="N452" s="20">
        <v>0.0</v>
      </c>
      <c r="O452" s="20">
        <v>0.0</v>
      </c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18">
        <v>46005.64454165509</v>
      </c>
      <c r="B453" s="19">
        <v>135.0</v>
      </c>
      <c r="C453" s="19" t="s">
        <v>56</v>
      </c>
      <c r="D453" s="19" t="s">
        <v>9</v>
      </c>
      <c r="E453" s="19">
        <v>24900.0</v>
      </c>
      <c r="F453" s="20">
        <v>2.0</v>
      </c>
      <c r="G453" s="20">
        <v>4.9</v>
      </c>
      <c r="I453" s="6">
        <v>0.0</v>
      </c>
      <c r="J453" s="6">
        <v>0.0</v>
      </c>
      <c r="K453" s="6">
        <v>0.0</v>
      </c>
      <c r="L453" s="6">
        <v>0.0</v>
      </c>
      <c r="M453" s="6">
        <v>0.0</v>
      </c>
      <c r="N453" s="20">
        <v>0.0</v>
      </c>
      <c r="O453" s="20">
        <v>0.0</v>
      </c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18">
        <v>46005.59987082176</v>
      </c>
      <c r="B454" s="19">
        <v>134.0</v>
      </c>
      <c r="C454" s="19" t="s">
        <v>53</v>
      </c>
      <c r="D454" s="19" t="s">
        <v>9</v>
      </c>
      <c r="E454" s="19">
        <v>8500.0</v>
      </c>
      <c r="F454" s="20">
        <v>4.0</v>
      </c>
      <c r="G454" s="20">
        <v>-41.5</v>
      </c>
      <c r="I454" s="6">
        <v>1.0</v>
      </c>
      <c r="J454" s="6">
        <v>0.0</v>
      </c>
      <c r="K454" s="6">
        <v>0.0</v>
      </c>
      <c r="L454" s="6">
        <v>0.0</v>
      </c>
      <c r="M454" s="6">
        <v>0.0</v>
      </c>
      <c r="N454" s="20">
        <v>0.0</v>
      </c>
      <c r="O454" s="20">
        <v>0.0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18">
        <v>46005.59987082176</v>
      </c>
      <c r="B455" s="19">
        <v>134.0</v>
      </c>
      <c r="C455" s="19" t="s">
        <v>54</v>
      </c>
      <c r="D455" s="19" t="s">
        <v>6</v>
      </c>
      <c r="E455" s="19">
        <v>22400.0</v>
      </c>
      <c r="F455" s="20">
        <v>3.0</v>
      </c>
      <c r="G455" s="20">
        <v>-17.6</v>
      </c>
      <c r="I455" s="6">
        <v>0.0</v>
      </c>
      <c r="J455" s="6">
        <v>0.0</v>
      </c>
      <c r="K455" s="6">
        <v>0.0</v>
      </c>
      <c r="L455" s="6">
        <v>0.0</v>
      </c>
      <c r="M455" s="6">
        <v>0.0</v>
      </c>
      <c r="N455" s="20">
        <v>0.0</v>
      </c>
      <c r="O455" s="20">
        <v>0.0</v>
      </c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18">
        <v>46005.59987082176</v>
      </c>
      <c r="B456" s="19">
        <v>134.0</v>
      </c>
      <c r="C456" s="19" t="s">
        <v>55</v>
      </c>
      <c r="D456" s="19" t="s">
        <v>7</v>
      </c>
      <c r="E456" s="19">
        <v>35600.0</v>
      </c>
      <c r="F456" s="20">
        <v>1.0</v>
      </c>
      <c r="G456" s="20">
        <v>45.6</v>
      </c>
      <c r="I456" s="6">
        <v>1.0</v>
      </c>
      <c r="J456" s="6">
        <v>0.0</v>
      </c>
      <c r="K456" s="6">
        <v>0.0</v>
      </c>
      <c r="L456" s="6">
        <v>0.0</v>
      </c>
      <c r="M456" s="6">
        <v>0.0</v>
      </c>
      <c r="N456" s="20">
        <v>0.0</v>
      </c>
      <c r="O456" s="20">
        <v>0.0</v>
      </c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18">
        <v>46005.59987082176</v>
      </c>
      <c r="B457" s="19">
        <v>134.0</v>
      </c>
      <c r="C457" s="19" t="s">
        <v>56</v>
      </c>
      <c r="D457" s="19" t="s">
        <v>8</v>
      </c>
      <c r="E457" s="19">
        <v>33500.0</v>
      </c>
      <c r="F457" s="20">
        <v>2.0</v>
      </c>
      <c r="G457" s="20">
        <v>13.5</v>
      </c>
      <c r="I457" s="6">
        <v>0.0</v>
      </c>
      <c r="J457" s="6">
        <v>1.0</v>
      </c>
      <c r="K457" s="6">
        <v>0.0</v>
      </c>
      <c r="L457" s="6">
        <v>0.0</v>
      </c>
      <c r="M457" s="6">
        <v>0.0</v>
      </c>
      <c r="N457" s="20">
        <v>0.0</v>
      </c>
      <c r="O457" s="20">
        <v>0.0</v>
      </c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18">
        <v>46005.53733712963</v>
      </c>
      <c r="B458" s="19">
        <v>133.0</v>
      </c>
      <c r="C458" s="19" t="s">
        <v>53</v>
      </c>
      <c r="D458" s="19" t="s">
        <v>8</v>
      </c>
      <c r="E458" s="19">
        <v>24100.0</v>
      </c>
      <c r="F458" s="20">
        <v>2.0</v>
      </c>
      <c r="G458" s="20">
        <v>4.1</v>
      </c>
      <c r="I458" s="6">
        <v>0.0</v>
      </c>
      <c r="J458" s="6">
        <v>0.0</v>
      </c>
      <c r="K458" s="6">
        <v>0.0</v>
      </c>
      <c r="L458" s="6">
        <v>0.0</v>
      </c>
      <c r="M458" s="6">
        <v>0.0</v>
      </c>
      <c r="N458" s="20">
        <v>0.0</v>
      </c>
      <c r="O458" s="20">
        <v>0.0</v>
      </c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18">
        <v>46005.53733712963</v>
      </c>
      <c r="B459" s="19">
        <v>133.0</v>
      </c>
      <c r="C459" s="19" t="s">
        <v>54</v>
      </c>
      <c r="D459" s="19" t="s">
        <v>9</v>
      </c>
      <c r="E459" s="19">
        <v>45000.0</v>
      </c>
      <c r="F459" s="20">
        <v>1.0</v>
      </c>
      <c r="G459" s="20">
        <v>55.0</v>
      </c>
      <c r="I459" s="6">
        <v>2.0</v>
      </c>
      <c r="J459" s="6">
        <v>0.0</v>
      </c>
      <c r="K459" s="6">
        <v>0.0</v>
      </c>
      <c r="L459" s="6">
        <v>0.0</v>
      </c>
      <c r="M459" s="6">
        <v>0.0</v>
      </c>
      <c r="N459" s="20">
        <v>0.0</v>
      </c>
      <c r="O459" s="20">
        <v>0.0</v>
      </c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18">
        <v>46005.53733712963</v>
      </c>
      <c r="B460" s="19">
        <v>133.0</v>
      </c>
      <c r="C460" s="19" t="s">
        <v>55</v>
      </c>
      <c r="D460" s="19" t="s">
        <v>6</v>
      </c>
      <c r="E460" s="19">
        <v>13800.0</v>
      </c>
      <c r="F460" s="20">
        <v>4.0</v>
      </c>
      <c r="G460" s="20">
        <v>-36.2</v>
      </c>
      <c r="I460" s="6">
        <v>0.0</v>
      </c>
      <c r="J460" s="6">
        <v>0.0</v>
      </c>
      <c r="K460" s="6">
        <v>0.0</v>
      </c>
      <c r="L460" s="6">
        <v>0.0</v>
      </c>
      <c r="M460" s="6">
        <v>0.0</v>
      </c>
      <c r="N460" s="20">
        <v>0.0</v>
      </c>
      <c r="O460" s="20">
        <v>0.0</v>
      </c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18">
        <v>46005.53733712963</v>
      </c>
      <c r="B461" s="19">
        <v>133.0</v>
      </c>
      <c r="C461" s="19" t="s">
        <v>56</v>
      </c>
      <c r="D461" s="19" t="s">
        <v>7</v>
      </c>
      <c r="E461" s="19">
        <v>17100.0</v>
      </c>
      <c r="F461" s="20">
        <v>3.0</v>
      </c>
      <c r="G461" s="20">
        <v>-22.9</v>
      </c>
      <c r="I461" s="6">
        <v>0.0</v>
      </c>
      <c r="J461" s="6">
        <v>0.0</v>
      </c>
      <c r="K461" s="6">
        <v>0.0</v>
      </c>
      <c r="L461" s="6">
        <v>0.0</v>
      </c>
      <c r="M461" s="6">
        <v>0.0</v>
      </c>
      <c r="N461" s="20">
        <v>0.0</v>
      </c>
      <c r="O461" s="20">
        <v>0.0</v>
      </c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18">
        <v>46005.03237857639</v>
      </c>
      <c r="B462" s="19">
        <v>132.0</v>
      </c>
      <c r="C462" s="19" t="s">
        <v>53</v>
      </c>
      <c r="D462" s="19" t="s">
        <v>11</v>
      </c>
      <c r="E462" s="19">
        <v>37500.0</v>
      </c>
      <c r="F462" s="20">
        <v>2.0</v>
      </c>
      <c r="G462" s="20">
        <v>17.5</v>
      </c>
      <c r="I462" s="6">
        <v>0.0</v>
      </c>
      <c r="J462" s="6">
        <v>0.0</v>
      </c>
      <c r="K462" s="6">
        <v>0.0</v>
      </c>
      <c r="L462" s="6">
        <v>0.0</v>
      </c>
      <c r="M462" s="6">
        <v>0.0</v>
      </c>
      <c r="N462" s="20">
        <v>0.0</v>
      </c>
      <c r="O462" s="20">
        <v>0.0</v>
      </c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18">
        <v>46005.03237857639</v>
      </c>
      <c r="B463" s="19">
        <v>132.0</v>
      </c>
      <c r="C463" s="19" t="s">
        <v>54</v>
      </c>
      <c r="D463" s="19" t="s">
        <v>24</v>
      </c>
      <c r="E463" s="19">
        <v>6100.0</v>
      </c>
      <c r="F463" s="20">
        <v>4.0</v>
      </c>
      <c r="G463" s="20">
        <v>-43.9</v>
      </c>
      <c r="I463" s="6">
        <v>0.0</v>
      </c>
      <c r="J463" s="6">
        <v>0.0</v>
      </c>
      <c r="K463" s="6">
        <v>0.0</v>
      </c>
      <c r="L463" s="6">
        <v>0.0</v>
      </c>
      <c r="M463" s="6">
        <v>0.0</v>
      </c>
      <c r="N463" s="20">
        <v>0.0</v>
      </c>
      <c r="O463" s="20">
        <v>0.0</v>
      </c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18">
        <v>46005.03237857639</v>
      </c>
      <c r="B464" s="19">
        <v>132.0</v>
      </c>
      <c r="C464" s="19" t="s">
        <v>55</v>
      </c>
      <c r="D464" s="19" t="s">
        <v>7</v>
      </c>
      <c r="E464" s="19">
        <v>39600.0</v>
      </c>
      <c r="F464" s="20">
        <v>1.0</v>
      </c>
      <c r="G464" s="20">
        <v>49.6</v>
      </c>
      <c r="I464" s="6">
        <v>0.0</v>
      </c>
      <c r="J464" s="6">
        <v>1.0</v>
      </c>
      <c r="K464" s="6">
        <v>0.0</v>
      </c>
      <c r="L464" s="6">
        <v>0.0</v>
      </c>
      <c r="M464" s="6">
        <v>0.0</v>
      </c>
      <c r="N464" s="20">
        <v>0.0</v>
      </c>
      <c r="O464" s="20">
        <v>0.0</v>
      </c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18">
        <v>46005.03237857639</v>
      </c>
      <c r="B465" s="19">
        <v>132.0</v>
      </c>
      <c r="C465" s="19" t="s">
        <v>56</v>
      </c>
      <c r="D465" s="19" t="s">
        <v>5</v>
      </c>
      <c r="E465" s="19">
        <v>16800.0</v>
      </c>
      <c r="F465" s="20">
        <v>3.0</v>
      </c>
      <c r="G465" s="20">
        <v>-23.2</v>
      </c>
      <c r="I465" s="6">
        <v>0.0</v>
      </c>
      <c r="J465" s="6">
        <v>0.0</v>
      </c>
      <c r="K465" s="6">
        <v>0.0</v>
      </c>
      <c r="L465" s="6">
        <v>0.0</v>
      </c>
      <c r="M465" s="6">
        <v>0.0</v>
      </c>
      <c r="N465" s="20">
        <v>0.0</v>
      </c>
      <c r="O465" s="20">
        <v>0.0</v>
      </c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18">
        <v>46005.03200247685</v>
      </c>
      <c r="B466" s="19">
        <v>131.0</v>
      </c>
      <c r="C466" s="19" t="s">
        <v>53</v>
      </c>
      <c r="D466" s="19" t="s">
        <v>24</v>
      </c>
      <c r="E466" s="19">
        <v>13300.0</v>
      </c>
      <c r="F466" s="20">
        <v>3.0</v>
      </c>
      <c r="G466" s="20">
        <v>-26.7</v>
      </c>
      <c r="I466" s="6">
        <v>0.0</v>
      </c>
      <c r="J466" s="6">
        <v>0.0</v>
      </c>
      <c r="K466" s="6">
        <v>0.0</v>
      </c>
      <c r="L466" s="6">
        <v>0.0</v>
      </c>
      <c r="M466" s="6">
        <v>0.0</v>
      </c>
      <c r="N466" s="20">
        <v>0.0</v>
      </c>
      <c r="O466" s="20">
        <v>0.0</v>
      </c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18">
        <v>46005.03200247685</v>
      </c>
      <c r="B467" s="19">
        <v>131.0</v>
      </c>
      <c r="C467" s="19" t="s">
        <v>54</v>
      </c>
      <c r="D467" s="19" t="s">
        <v>5</v>
      </c>
      <c r="E467" s="19">
        <v>9000.0</v>
      </c>
      <c r="F467" s="20">
        <v>4.0</v>
      </c>
      <c r="G467" s="20">
        <v>-41.0</v>
      </c>
      <c r="I467" s="6">
        <v>1.0</v>
      </c>
      <c r="J467" s="6">
        <v>0.0</v>
      </c>
      <c r="K467" s="6">
        <v>0.0</v>
      </c>
      <c r="L467" s="6">
        <v>0.0</v>
      </c>
      <c r="M467" s="6">
        <v>0.0</v>
      </c>
      <c r="N467" s="20">
        <v>0.0</v>
      </c>
      <c r="O467" s="20">
        <v>0.0</v>
      </c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18">
        <v>46005.03200247685</v>
      </c>
      <c r="B468" s="19">
        <v>131.0</v>
      </c>
      <c r="C468" s="19" t="s">
        <v>55</v>
      </c>
      <c r="D468" s="19" t="s">
        <v>11</v>
      </c>
      <c r="E468" s="19">
        <v>54900.0</v>
      </c>
      <c r="F468" s="20">
        <v>1.0</v>
      </c>
      <c r="G468" s="20">
        <v>64.9</v>
      </c>
      <c r="I468" s="6">
        <v>2.0</v>
      </c>
      <c r="J468" s="6">
        <v>0.0</v>
      </c>
      <c r="K468" s="6">
        <v>0.0</v>
      </c>
      <c r="L468" s="6">
        <v>0.0</v>
      </c>
      <c r="M468" s="6">
        <v>0.0</v>
      </c>
      <c r="N468" s="20">
        <v>0.0</v>
      </c>
      <c r="O468" s="20">
        <v>0.0</v>
      </c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18">
        <v>46005.03200247685</v>
      </c>
      <c r="B469" s="19">
        <v>131.0</v>
      </c>
      <c r="C469" s="19" t="s">
        <v>56</v>
      </c>
      <c r="D469" s="19" t="s">
        <v>7</v>
      </c>
      <c r="E469" s="19">
        <v>22800.0</v>
      </c>
      <c r="F469" s="20">
        <v>2.0</v>
      </c>
      <c r="G469" s="20">
        <v>2.8</v>
      </c>
      <c r="I469" s="6">
        <v>0.0</v>
      </c>
      <c r="J469" s="6">
        <v>0.0</v>
      </c>
      <c r="K469" s="6">
        <v>0.0</v>
      </c>
      <c r="L469" s="6">
        <v>0.0</v>
      </c>
      <c r="M469" s="6">
        <v>0.0</v>
      </c>
      <c r="N469" s="20">
        <v>0.0</v>
      </c>
      <c r="O469" s="20">
        <v>0.0</v>
      </c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18">
        <v>46005.03161305556</v>
      </c>
      <c r="B470" s="19">
        <v>130.0</v>
      </c>
      <c r="C470" s="19" t="s">
        <v>53</v>
      </c>
      <c r="D470" s="19" t="s">
        <v>24</v>
      </c>
      <c r="E470" s="19">
        <v>16700.0</v>
      </c>
      <c r="F470" s="20">
        <v>3.0</v>
      </c>
      <c r="G470" s="20">
        <v>-23.3</v>
      </c>
      <c r="I470" s="6">
        <v>0.0</v>
      </c>
      <c r="J470" s="6">
        <v>0.0</v>
      </c>
      <c r="K470" s="6">
        <v>0.0</v>
      </c>
      <c r="L470" s="6">
        <v>0.0</v>
      </c>
      <c r="M470" s="6">
        <v>0.0</v>
      </c>
      <c r="N470" s="20">
        <v>0.0</v>
      </c>
      <c r="O470" s="20">
        <v>0.0</v>
      </c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18">
        <v>46005.03161305556</v>
      </c>
      <c r="B471" s="19">
        <v>130.0</v>
      </c>
      <c r="C471" s="19" t="s">
        <v>54</v>
      </c>
      <c r="D471" s="19" t="s">
        <v>7</v>
      </c>
      <c r="E471" s="19">
        <v>10800.0</v>
      </c>
      <c r="F471" s="20">
        <v>4.0</v>
      </c>
      <c r="G471" s="20">
        <v>-39.2</v>
      </c>
      <c r="I471" s="6">
        <v>0.0</v>
      </c>
      <c r="J471" s="6">
        <v>0.0</v>
      </c>
      <c r="K471" s="6">
        <v>0.0</v>
      </c>
      <c r="L471" s="6">
        <v>0.0</v>
      </c>
      <c r="M471" s="6">
        <v>0.0</v>
      </c>
      <c r="N471" s="20">
        <v>0.0</v>
      </c>
      <c r="O471" s="20">
        <v>0.0</v>
      </c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18">
        <v>46005.03161305556</v>
      </c>
      <c r="B472" s="19">
        <v>130.0</v>
      </c>
      <c r="C472" s="19" t="s">
        <v>55</v>
      </c>
      <c r="D472" s="19" t="s">
        <v>11</v>
      </c>
      <c r="E472" s="19">
        <v>37700.0</v>
      </c>
      <c r="F472" s="20">
        <v>1.0</v>
      </c>
      <c r="G472" s="20">
        <v>47.7</v>
      </c>
      <c r="I472" s="6">
        <v>0.0</v>
      </c>
      <c r="J472" s="6">
        <v>0.0</v>
      </c>
      <c r="K472" s="6">
        <v>0.0</v>
      </c>
      <c r="L472" s="6">
        <v>0.0</v>
      </c>
      <c r="M472" s="6">
        <v>0.0</v>
      </c>
      <c r="N472" s="20">
        <v>0.0</v>
      </c>
      <c r="O472" s="20">
        <v>0.0</v>
      </c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18">
        <v>46005.03161305556</v>
      </c>
      <c r="B473" s="19">
        <v>130.0</v>
      </c>
      <c r="C473" s="19" t="s">
        <v>56</v>
      </c>
      <c r="D473" s="19" t="s">
        <v>5</v>
      </c>
      <c r="E473" s="19">
        <v>34800.0</v>
      </c>
      <c r="F473" s="20">
        <v>2.0</v>
      </c>
      <c r="G473" s="20">
        <v>14.8</v>
      </c>
      <c r="I473" s="6">
        <v>1.0</v>
      </c>
      <c r="J473" s="6">
        <v>0.0</v>
      </c>
      <c r="K473" s="6">
        <v>0.0</v>
      </c>
      <c r="L473" s="6">
        <v>0.0</v>
      </c>
      <c r="M473" s="6">
        <v>0.0</v>
      </c>
      <c r="N473" s="20">
        <v>0.0</v>
      </c>
      <c r="O473" s="20">
        <v>0.0</v>
      </c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18">
        <v>46005.031100023145</v>
      </c>
      <c r="B474" s="19">
        <v>129.0</v>
      </c>
      <c r="C474" s="19" t="s">
        <v>53</v>
      </c>
      <c r="D474" s="19" t="s">
        <v>24</v>
      </c>
      <c r="E474" s="19">
        <v>-400.0</v>
      </c>
      <c r="F474" s="20">
        <v>4.0</v>
      </c>
      <c r="G474" s="20">
        <v>-50.4</v>
      </c>
      <c r="I474" s="6">
        <v>0.0</v>
      </c>
      <c r="J474" s="6">
        <v>0.0</v>
      </c>
      <c r="K474" s="6">
        <v>0.0</v>
      </c>
      <c r="L474" s="6">
        <v>0.0</v>
      </c>
      <c r="M474" s="6">
        <v>0.0</v>
      </c>
      <c r="N474" s="20">
        <v>0.0</v>
      </c>
      <c r="O474" s="20">
        <v>0.0</v>
      </c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18">
        <v>46005.031100023145</v>
      </c>
      <c r="B475" s="19">
        <v>129.0</v>
      </c>
      <c r="C475" s="19" t="s">
        <v>54</v>
      </c>
      <c r="D475" s="19" t="s">
        <v>7</v>
      </c>
      <c r="E475" s="19">
        <v>31500.0</v>
      </c>
      <c r="F475" s="20">
        <v>3.0</v>
      </c>
      <c r="G475" s="20">
        <v>-8.5</v>
      </c>
      <c r="I475" s="6">
        <v>0.0</v>
      </c>
      <c r="J475" s="6">
        <v>0.0</v>
      </c>
      <c r="K475" s="6">
        <v>0.0</v>
      </c>
      <c r="L475" s="6">
        <v>0.0</v>
      </c>
      <c r="M475" s="6">
        <v>0.0</v>
      </c>
      <c r="N475" s="20">
        <v>0.0</v>
      </c>
      <c r="O475" s="20">
        <v>0.0</v>
      </c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18">
        <v>46005.031100023145</v>
      </c>
      <c r="B476" s="19">
        <v>129.0</v>
      </c>
      <c r="C476" s="19" t="s">
        <v>55</v>
      </c>
      <c r="D476" s="19" t="s">
        <v>11</v>
      </c>
      <c r="E476" s="19">
        <v>33900.0</v>
      </c>
      <c r="F476" s="20">
        <v>2.0</v>
      </c>
      <c r="G476" s="20">
        <v>13.9</v>
      </c>
      <c r="I476" s="6">
        <v>0.0</v>
      </c>
      <c r="J476" s="6">
        <v>0.0</v>
      </c>
      <c r="K476" s="6">
        <v>0.0</v>
      </c>
      <c r="L476" s="6">
        <v>0.0</v>
      </c>
      <c r="M476" s="6">
        <v>0.0</v>
      </c>
      <c r="N476" s="20">
        <v>0.0</v>
      </c>
      <c r="O476" s="20">
        <v>0.0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18">
        <v>46005.031100023145</v>
      </c>
      <c r="B477" s="19">
        <v>129.0</v>
      </c>
      <c r="C477" s="19" t="s">
        <v>56</v>
      </c>
      <c r="D477" s="19" t="s">
        <v>5</v>
      </c>
      <c r="E477" s="19">
        <v>35000.0</v>
      </c>
      <c r="F477" s="20">
        <v>1.0</v>
      </c>
      <c r="G477" s="20">
        <v>45.0</v>
      </c>
      <c r="I477" s="6">
        <v>0.0</v>
      </c>
      <c r="J477" s="6">
        <v>1.0</v>
      </c>
      <c r="K477" s="6">
        <v>0.0</v>
      </c>
      <c r="L477" s="6">
        <v>0.0</v>
      </c>
      <c r="M477" s="6">
        <v>0.0</v>
      </c>
      <c r="N477" s="20">
        <v>0.0</v>
      </c>
      <c r="O477" s="20">
        <v>0.0</v>
      </c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18">
        <v>46005.030481608796</v>
      </c>
      <c r="B478" s="19">
        <v>128.0</v>
      </c>
      <c r="C478" s="19" t="s">
        <v>53</v>
      </c>
      <c r="D478" s="19" t="s">
        <v>24</v>
      </c>
      <c r="E478" s="19">
        <v>-1600.0</v>
      </c>
      <c r="F478" s="20">
        <v>4.0</v>
      </c>
      <c r="G478" s="20">
        <v>-51.6</v>
      </c>
      <c r="I478" s="6">
        <v>0.0</v>
      </c>
      <c r="J478" s="6">
        <v>0.0</v>
      </c>
      <c r="K478" s="6">
        <v>0.0</v>
      </c>
      <c r="L478" s="6">
        <v>0.0</v>
      </c>
      <c r="M478" s="6">
        <v>0.0</v>
      </c>
      <c r="N478" s="20">
        <v>0.0</v>
      </c>
      <c r="O478" s="20">
        <v>0.0</v>
      </c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18">
        <v>46005.030481608796</v>
      </c>
      <c r="B479" s="19">
        <v>128.0</v>
      </c>
      <c r="C479" s="19" t="s">
        <v>54</v>
      </c>
      <c r="D479" s="19" t="s">
        <v>11</v>
      </c>
      <c r="E479" s="19">
        <v>15400.0</v>
      </c>
      <c r="F479" s="20">
        <v>3.0</v>
      </c>
      <c r="G479" s="20">
        <v>-24.6</v>
      </c>
      <c r="I479" s="6">
        <v>0.0</v>
      </c>
      <c r="J479" s="6">
        <v>0.0</v>
      </c>
      <c r="K479" s="6">
        <v>0.0</v>
      </c>
      <c r="L479" s="6">
        <v>0.0</v>
      </c>
      <c r="M479" s="6">
        <v>0.0</v>
      </c>
      <c r="N479" s="20">
        <v>0.0</v>
      </c>
      <c r="O479" s="20">
        <v>0.0</v>
      </c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18">
        <v>46005.030481608796</v>
      </c>
      <c r="B480" s="19">
        <v>128.0</v>
      </c>
      <c r="C480" s="19" t="s">
        <v>55</v>
      </c>
      <c r="D480" s="19" t="s">
        <v>5</v>
      </c>
      <c r="E480" s="19">
        <v>44100.0</v>
      </c>
      <c r="F480" s="20">
        <v>1.0</v>
      </c>
      <c r="G480" s="20">
        <v>54.1</v>
      </c>
      <c r="I480" s="6">
        <v>0.0</v>
      </c>
      <c r="J480" s="6">
        <v>1.0</v>
      </c>
      <c r="K480" s="6">
        <v>0.0</v>
      </c>
      <c r="L480" s="6">
        <v>0.0</v>
      </c>
      <c r="M480" s="6">
        <v>0.0</v>
      </c>
      <c r="N480" s="20">
        <v>0.0</v>
      </c>
      <c r="O480" s="20">
        <v>0.0</v>
      </c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18">
        <v>46005.030481608796</v>
      </c>
      <c r="B481" s="19">
        <v>128.0</v>
      </c>
      <c r="C481" s="19" t="s">
        <v>56</v>
      </c>
      <c r="D481" s="19" t="s">
        <v>7</v>
      </c>
      <c r="E481" s="19">
        <v>42100.0</v>
      </c>
      <c r="F481" s="20">
        <v>2.0</v>
      </c>
      <c r="G481" s="20">
        <v>22.1</v>
      </c>
      <c r="I481" s="6">
        <v>0.0</v>
      </c>
      <c r="J481" s="6">
        <v>0.0</v>
      </c>
      <c r="K481" s="6">
        <v>0.0</v>
      </c>
      <c r="L481" s="6">
        <v>0.0</v>
      </c>
      <c r="M481" s="6">
        <v>0.0</v>
      </c>
      <c r="N481" s="20">
        <v>0.0</v>
      </c>
      <c r="O481" s="20">
        <v>0.0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18">
        <v>45991.066437939815</v>
      </c>
      <c r="B482" s="19">
        <v>127.0</v>
      </c>
      <c r="C482" s="19" t="s">
        <v>53</v>
      </c>
      <c r="D482" s="19" t="s">
        <v>24</v>
      </c>
      <c r="E482" s="19">
        <v>15700.0</v>
      </c>
      <c r="F482" s="20">
        <v>3.0</v>
      </c>
      <c r="G482" s="20">
        <v>-24.3</v>
      </c>
      <c r="I482" s="6">
        <v>0.0</v>
      </c>
      <c r="J482" s="6">
        <v>0.0</v>
      </c>
      <c r="K482" s="6">
        <v>0.0</v>
      </c>
      <c r="L482" s="6">
        <v>0.0</v>
      </c>
      <c r="M482" s="6">
        <v>0.0</v>
      </c>
      <c r="N482" s="20">
        <v>0.0</v>
      </c>
      <c r="O482" s="20">
        <v>0.0</v>
      </c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18">
        <v>45991.066437939815</v>
      </c>
      <c r="B483" s="19">
        <v>127.0</v>
      </c>
      <c r="C483" s="19" t="s">
        <v>54</v>
      </c>
      <c r="D483" s="19" t="s">
        <v>5</v>
      </c>
      <c r="E483" s="19">
        <v>48400.0</v>
      </c>
      <c r="F483" s="20">
        <v>1.0</v>
      </c>
      <c r="G483" s="20">
        <v>58.4</v>
      </c>
      <c r="I483" s="6">
        <v>0.0</v>
      </c>
      <c r="J483" s="6">
        <v>1.0</v>
      </c>
      <c r="K483" s="6">
        <v>0.0</v>
      </c>
      <c r="L483" s="6">
        <v>0.0</v>
      </c>
      <c r="M483" s="6">
        <v>0.0</v>
      </c>
      <c r="N483" s="20">
        <v>0.0</v>
      </c>
      <c r="O483" s="20">
        <v>0.0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18">
        <v>45991.066437939815</v>
      </c>
      <c r="B484" s="19">
        <v>127.0</v>
      </c>
      <c r="C484" s="19" t="s">
        <v>55</v>
      </c>
      <c r="D484" s="19" t="s">
        <v>17</v>
      </c>
      <c r="E484" s="19">
        <v>27900.0</v>
      </c>
      <c r="F484" s="20">
        <v>2.0</v>
      </c>
      <c r="G484" s="20">
        <v>7.9</v>
      </c>
      <c r="I484" s="6">
        <v>1.0</v>
      </c>
      <c r="J484" s="6">
        <v>0.0</v>
      </c>
      <c r="K484" s="6">
        <v>0.0</v>
      </c>
      <c r="L484" s="6">
        <v>0.0</v>
      </c>
      <c r="M484" s="6">
        <v>0.0</v>
      </c>
      <c r="N484" s="20">
        <v>0.0</v>
      </c>
      <c r="O484" s="20">
        <v>0.0</v>
      </c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18">
        <v>45991.066437939815</v>
      </c>
      <c r="B485" s="19">
        <v>127.0</v>
      </c>
      <c r="C485" s="19" t="s">
        <v>56</v>
      </c>
      <c r="D485" s="19" t="s">
        <v>11</v>
      </c>
      <c r="E485" s="19">
        <v>8000.0</v>
      </c>
      <c r="F485" s="20">
        <v>4.0</v>
      </c>
      <c r="G485" s="20">
        <v>-42.0</v>
      </c>
      <c r="I485" s="6">
        <v>0.0</v>
      </c>
      <c r="J485" s="6">
        <v>0.0</v>
      </c>
      <c r="K485" s="6">
        <v>0.0</v>
      </c>
      <c r="L485" s="6">
        <v>0.0</v>
      </c>
      <c r="M485" s="6">
        <v>0.0</v>
      </c>
      <c r="N485" s="20">
        <v>0.0</v>
      </c>
      <c r="O485" s="20">
        <v>0.0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18">
        <v>45991.06575168981</v>
      </c>
      <c r="B486" s="19">
        <v>126.0</v>
      </c>
      <c r="C486" s="19" t="s">
        <v>53</v>
      </c>
      <c r="D486" s="19" t="s">
        <v>17</v>
      </c>
      <c r="E486" s="19">
        <v>17700.0</v>
      </c>
      <c r="F486" s="20">
        <v>3.0</v>
      </c>
      <c r="G486" s="20">
        <v>-22.3</v>
      </c>
      <c r="I486" s="6">
        <v>1.0</v>
      </c>
      <c r="J486" s="6">
        <v>0.0</v>
      </c>
      <c r="K486" s="6">
        <v>0.0</v>
      </c>
      <c r="L486" s="6">
        <v>0.0</v>
      </c>
      <c r="M486" s="6">
        <v>0.0</v>
      </c>
      <c r="N486" s="20">
        <v>0.0</v>
      </c>
      <c r="O486" s="20">
        <v>0.0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18">
        <v>45991.06575168981</v>
      </c>
      <c r="B487" s="19">
        <v>126.0</v>
      </c>
      <c r="C487" s="19" t="s">
        <v>54</v>
      </c>
      <c r="D487" s="19" t="s">
        <v>11</v>
      </c>
      <c r="E487" s="19">
        <v>14100.0</v>
      </c>
      <c r="F487" s="20">
        <v>4.0</v>
      </c>
      <c r="G487" s="20">
        <v>-35.9</v>
      </c>
      <c r="I487" s="6">
        <v>0.0</v>
      </c>
      <c r="J487" s="6">
        <v>1.0</v>
      </c>
      <c r="K487" s="6">
        <v>0.0</v>
      </c>
      <c r="L487" s="6">
        <v>0.0</v>
      </c>
      <c r="M487" s="6">
        <v>0.0</v>
      </c>
      <c r="N487" s="20">
        <v>0.0</v>
      </c>
      <c r="O487" s="20">
        <v>0.0</v>
      </c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18">
        <v>45991.06575168981</v>
      </c>
      <c r="B488" s="19">
        <v>126.0</v>
      </c>
      <c r="C488" s="19" t="s">
        <v>55</v>
      </c>
      <c r="D488" s="19" t="s">
        <v>15</v>
      </c>
      <c r="E488" s="19">
        <v>44300.0</v>
      </c>
      <c r="F488" s="20">
        <v>1.0</v>
      </c>
      <c r="G488" s="20">
        <v>54.3</v>
      </c>
      <c r="I488" s="6">
        <v>0.0</v>
      </c>
      <c r="J488" s="6">
        <v>1.0</v>
      </c>
      <c r="K488" s="6">
        <v>0.0</v>
      </c>
      <c r="L488" s="6">
        <v>0.0</v>
      </c>
      <c r="M488" s="6">
        <v>0.0</v>
      </c>
      <c r="N488" s="20">
        <v>0.0</v>
      </c>
      <c r="O488" s="20">
        <v>0.0</v>
      </c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18">
        <v>45991.06575168981</v>
      </c>
      <c r="B489" s="19">
        <v>126.0</v>
      </c>
      <c r="C489" s="19" t="s">
        <v>56</v>
      </c>
      <c r="D489" s="19" t="s">
        <v>24</v>
      </c>
      <c r="E489" s="19">
        <v>23900.0</v>
      </c>
      <c r="F489" s="20">
        <v>2.0</v>
      </c>
      <c r="G489" s="20">
        <v>3.9000000000000004</v>
      </c>
      <c r="I489" s="6">
        <v>0.0</v>
      </c>
      <c r="J489" s="6">
        <v>0.0</v>
      </c>
      <c r="K489" s="6">
        <v>0.0</v>
      </c>
      <c r="L489" s="6">
        <v>0.0</v>
      </c>
      <c r="M489" s="6">
        <v>0.0</v>
      </c>
      <c r="N489" s="20">
        <v>0.0</v>
      </c>
      <c r="O489" s="20">
        <v>0.0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18">
        <v>45990.944707511575</v>
      </c>
      <c r="B490" s="19">
        <v>125.0</v>
      </c>
      <c r="C490" s="19" t="s">
        <v>53</v>
      </c>
      <c r="D490" s="19" t="s">
        <v>6</v>
      </c>
      <c r="E490" s="19">
        <v>27100.0</v>
      </c>
      <c r="F490" s="20">
        <v>2.0</v>
      </c>
      <c r="G490" s="20">
        <v>7.1</v>
      </c>
      <c r="I490" s="6">
        <v>0.0</v>
      </c>
      <c r="J490" s="6">
        <v>0.0</v>
      </c>
      <c r="K490" s="6">
        <v>0.0</v>
      </c>
      <c r="L490" s="6">
        <v>0.0</v>
      </c>
      <c r="M490" s="6">
        <v>0.0</v>
      </c>
      <c r="N490" s="20">
        <v>0.0</v>
      </c>
      <c r="O490" s="20">
        <v>0.0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18">
        <v>45990.944707511575</v>
      </c>
      <c r="B491" s="19">
        <v>125.0</v>
      </c>
      <c r="C491" s="19" t="s">
        <v>54</v>
      </c>
      <c r="D491" s="19" t="s">
        <v>15</v>
      </c>
      <c r="E491" s="19">
        <v>17500.0</v>
      </c>
      <c r="F491" s="20">
        <v>3.0</v>
      </c>
      <c r="G491" s="20">
        <v>-22.5</v>
      </c>
      <c r="I491" s="6">
        <v>0.0</v>
      </c>
      <c r="J491" s="6">
        <v>0.0</v>
      </c>
      <c r="K491" s="6">
        <v>0.0</v>
      </c>
      <c r="L491" s="6">
        <v>0.0</v>
      </c>
      <c r="M491" s="6">
        <v>0.0</v>
      </c>
      <c r="N491" s="20">
        <v>0.0</v>
      </c>
      <c r="O491" s="20">
        <v>0.0</v>
      </c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18">
        <v>45990.944707511575</v>
      </c>
      <c r="B492" s="19">
        <v>125.0</v>
      </c>
      <c r="C492" s="19" t="s">
        <v>55</v>
      </c>
      <c r="D492" s="19" t="s">
        <v>9</v>
      </c>
      <c r="E492" s="19">
        <v>14700.0</v>
      </c>
      <c r="F492" s="20">
        <v>4.0</v>
      </c>
      <c r="G492" s="20">
        <v>-35.3</v>
      </c>
      <c r="I492" s="6">
        <v>0.0</v>
      </c>
      <c r="J492" s="6">
        <v>0.0</v>
      </c>
      <c r="K492" s="6">
        <v>0.0</v>
      </c>
      <c r="L492" s="6">
        <v>0.0</v>
      </c>
      <c r="M492" s="6">
        <v>0.0</v>
      </c>
      <c r="N492" s="20">
        <v>0.0</v>
      </c>
      <c r="O492" s="20">
        <v>0.0</v>
      </c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18">
        <v>45990.944707511575</v>
      </c>
      <c r="B493" s="19">
        <v>125.0</v>
      </c>
      <c r="C493" s="19" t="s">
        <v>56</v>
      </c>
      <c r="D493" s="19" t="s">
        <v>10</v>
      </c>
      <c r="E493" s="19">
        <v>40700.0</v>
      </c>
      <c r="F493" s="20">
        <v>1.0</v>
      </c>
      <c r="G493" s="20">
        <v>50.7</v>
      </c>
      <c r="I493" s="6">
        <v>0.0</v>
      </c>
      <c r="J493" s="6">
        <v>0.0</v>
      </c>
      <c r="K493" s="6">
        <v>0.0</v>
      </c>
      <c r="L493" s="6">
        <v>0.0</v>
      </c>
      <c r="M493" s="6">
        <v>0.0</v>
      </c>
      <c r="N493" s="20">
        <v>0.0</v>
      </c>
      <c r="O493" s="20">
        <v>0.0</v>
      </c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18">
        <v>45990.91601027778</v>
      </c>
      <c r="B494" s="19">
        <v>124.0</v>
      </c>
      <c r="C494" s="19" t="s">
        <v>53</v>
      </c>
      <c r="D494" s="19" t="s">
        <v>10</v>
      </c>
      <c r="E494" s="19">
        <v>12600.0</v>
      </c>
      <c r="F494" s="20">
        <v>4.0</v>
      </c>
      <c r="G494" s="20">
        <v>-37.4</v>
      </c>
      <c r="I494" s="6">
        <v>0.0</v>
      </c>
      <c r="J494" s="6">
        <v>0.0</v>
      </c>
      <c r="K494" s="6">
        <v>0.0</v>
      </c>
      <c r="L494" s="6">
        <v>0.0</v>
      </c>
      <c r="M494" s="6">
        <v>0.0</v>
      </c>
      <c r="N494" s="20">
        <v>0.0</v>
      </c>
      <c r="O494" s="20">
        <v>0.0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18">
        <v>45990.91601027778</v>
      </c>
      <c r="B495" s="19">
        <v>124.0</v>
      </c>
      <c r="C495" s="19" t="s">
        <v>54</v>
      </c>
      <c r="D495" s="19" t="s">
        <v>15</v>
      </c>
      <c r="E495" s="19">
        <v>13600.0</v>
      </c>
      <c r="F495" s="20">
        <v>3.0</v>
      </c>
      <c r="G495" s="20">
        <v>-26.4</v>
      </c>
      <c r="I495" s="6">
        <v>1.0</v>
      </c>
      <c r="J495" s="6">
        <v>0.0</v>
      </c>
      <c r="K495" s="6">
        <v>0.0</v>
      </c>
      <c r="L495" s="6">
        <v>0.0</v>
      </c>
      <c r="M495" s="6">
        <v>0.0</v>
      </c>
      <c r="N495" s="20">
        <v>0.0</v>
      </c>
      <c r="O495" s="20">
        <v>0.0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18">
        <v>45990.91601027778</v>
      </c>
      <c r="B496" s="19">
        <v>124.0</v>
      </c>
      <c r="C496" s="19" t="s">
        <v>55</v>
      </c>
      <c r="D496" s="19" t="s">
        <v>9</v>
      </c>
      <c r="E496" s="19">
        <v>40700.0</v>
      </c>
      <c r="F496" s="20">
        <v>1.0</v>
      </c>
      <c r="G496" s="20">
        <v>50.7</v>
      </c>
      <c r="I496" s="6">
        <v>0.0</v>
      </c>
      <c r="J496" s="6">
        <v>1.0</v>
      </c>
      <c r="K496" s="6">
        <v>0.0</v>
      </c>
      <c r="L496" s="6">
        <v>0.0</v>
      </c>
      <c r="M496" s="6">
        <v>0.0</v>
      </c>
      <c r="N496" s="20">
        <v>0.0</v>
      </c>
      <c r="O496" s="20">
        <v>0.0</v>
      </c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18">
        <v>45990.91601027778</v>
      </c>
      <c r="B497" s="19">
        <v>124.0</v>
      </c>
      <c r="C497" s="19" t="s">
        <v>56</v>
      </c>
      <c r="D497" s="19" t="s">
        <v>6</v>
      </c>
      <c r="E497" s="19">
        <v>33100.0</v>
      </c>
      <c r="F497" s="20">
        <v>2.0</v>
      </c>
      <c r="G497" s="20">
        <v>13.1</v>
      </c>
      <c r="I497" s="6">
        <v>0.0</v>
      </c>
      <c r="J497" s="6">
        <v>0.0</v>
      </c>
      <c r="K497" s="6">
        <v>0.0</v>
      </c>
      <c r="L497" s="6">
        <v>0.0</v>
      </c>
      <c r="M497" s="6">
        <v>0.0</v>
      </c>
      <c r="N497" s="20">
        <v>0.0</v>
      </c>
      <c r="O497" s="20">
        <v>0.0</v>
      </c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18">
        <v>45990.85049408565</v>
      </c>
      <c r="B498" s="19">
        <v>123.0</v>
      </c>
      <c r="C498" s="19" t="s">
        <v>53</v>
      </c>
      <c r="D498" s="19" t="s">
        <v>10</v>
      </c>
      <c r="E498" s="19">
        <v>49700.0</v>
      </c>
      <c r="F498" s="20">
        <v>1.0</v>
      </c>
      <c r="G498" s="20">
        <v>59.7</v>
      </c>
      <c r="I498" s="6">
        <v>0.0</v>
      </c>
      <c r="J498" s="6">
        <v>0.0</v>
      </c>
      <c r="K498" s="6">
        <v>0.0</v>
      </c>
      <c r="L498" s="6">
        <v>0.0</v>
      </c>
      <c r="M498" s="6">
        <v>0.0</v>
      </c>
      <c r="N498" s="20">
        <v>0.0</v>
      </c>
      <c r="O498" s="20">
        <v>0.0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18">
        <v>45990.85049408565</v>
      </c>
      <c r="B499" s="19">
        <v>123.0</v>
      </c>
      <c r="C499" s="19" t="s">
        <v>54</v>
      </c>
      <c r="D499" s="19" t="s">
        <v>5</v>
      </c>
      <c r="E499" s="19">
        <v>28600.0</v>
      </c>
      <c r="F499" s="20">
        <v>2.0</v>
      </c>
      <c r="G499" s="20">
        <v>8.6</v>
      </c>
      <c r="I499" s="6">
        <v>1.0</v>
      </c>
      <c r="J499" s="6">
        <v>0.0</v>
      </c>
      <c r="K499" s="6">
        <v>0.0</v>
      </c>
      <c r="L499" s="6">
        <v>0.0</v>
      </c>
      <c r="M499" s="6">
        <v>0.0</v>
      </c>
      <c r="N499" s="20">
        <v>0.0</v>
      </c>
      <c r="O499" s="20">
        <v>0.0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18">
        <v>45990.85049408565</v>
      </c>
      <c r="B500" s="19">
        <v>123.0</v>
      </c>
      <c r="C500" s="19" t="s">
        <v>55</v>
      </c>
      <c r="D500" s="19" t="s">
        <v>9</v>
      </c>
      <c r="E500" s="19">
        <v>3000.0</v>
      </c>
      <c r="F500" s="20">
        <v>4.0</v>
      </c>
      <c r="G500" s="20">
        <v>-47.0</v>
      </c>
      <c r="I500" s="6">
        <v>0.0</v>
      </c>
      <c r="J500" s="6">
        <v>0.0</v>
      </c>
      <c r="K500" s="6">
        <v>0.0</v>
      </c>
      <c r="L500" s="6">
        <v>0.0</v>
      </c>
      <c r="M500" s="6">
        <v>0.0</v>
      </c>
      <c r="N500" s="20">
        <v>0.0</v>
      </c>
      <c r="O500" s="20">
        <v>0.0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18">
        <v>45990.85049408565</v>
      </c>
      <c r="B501" s="19">
        <v>123.0</v>
      </c>
      <c r="C501" s="19" t="s">
        <v>56</v>
      </c>
      <c r="D501" s="19" t="s">
        <v>6</v>
      </c>
      <c r="E501" s="19">
        <v>18700.0</v>
      </c>
      <c r="F501" s="20">
        <v>3.0</v>
      </c>
      <c r="G501" s="20">
        <v>-21.3</v>
      </c>
      <c r="I501" s="6">
        <v>0.0</v>
      </c>
      <c r="J501" s="6">
        <v>0.0</v>
      </c>
      <c r="K501" s="6">
        <v>0.0</v>
      </c>
      <c r="L501" s="6">
        <v>0.0</v>
      </c>
      <c r="M501" s="6">
        <v>0.0</v>
      </c>
      <c r="N501" s="20">
        <v>0.0</v>
      </c>
      <c r="O501" s="20">
        <v>0.0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18">
        <v>45990.84885472222</v>
      </c>
      <c r="B502" s="19">
        <v>122.0</v>
      </c>
      <c r="C502" s="19" t="s">
        <v>53</v>
      </c>
      <c r="D502" s="19" t="s">
        <v>11</v>
      </c>
      <c r="E502" s="19">
        <v>13900.0</v>
      </c>
      <c r="F502" s="20">
        <v>4.0</v>
      </c>
      <c r="G502" s="20">
        <v>-36.1</v>
      </c>
      <c r="I502" s="6">
        <v>0.0</v>
      </c>
      <c r="J502" s="6">
        <v>0.0</v>
      </c>
      <c r="K502" s="6">
        <v>0.0</v>
      </c>
      <c r="L502" s="6">
        <v>0.0</v>
      </c>
      <c r="M502" s="6">
        <v>0.0</v>
      </c>
      <c r="N502" s="20">
        <v>0.0</v>
      </c>
      <c r="O502" s="20">
        <v>0.0</v>
      </c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18">
        <v>45990.84885472222</v>
      </c>
      <c r="B503" s="19">
        <v>122.0</v>
      </c>
      <c r="C503" s="19" t="s">
        <v>54</v>
      </c>
      <c r="D503" s="19" t="s">
        <v>9</v>
      </c>
      <c r="E503" s="19">
        <v>33400.0</v>
      </c>
      <c r="F503" s="20">
        <v>2.0</v>
      </c>
      <c r="G503" s="20">
        <v>13.4</v>
      </c>
      <c r="I503" s="6">
        <v>0.0</v>
      </c>
      <c r="J503" s="6">
        <v>1.0</v>
      </c>
      <c r="K503" s="6">
        <v>0.0</v>
      </c>
      <c r="L503" s="6">
        <v>0.0</v>
      </c>
      <c r="M503" s="6">
        <v>0.0</v>
      </c>
      <c r="N503" s="20">
        <v>0.0</v>
      </c>
      <c r="O503" s="20">
        <v>0.0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18">
        <v>45990.84885472222</v>
      </c>
      <c r="B504" s="19">
        <v>122.0</v>
      </c>
      <c r="C504" s="19" t="s">
        <v>55</v>
      </c>
      <c r="D504" s="19" t="s">
        <v>24</v>
      </c>
      <c r="E504" s="19">
        <v>16500.0</v>
      </c>
      <c r="F504" s="20">
        <v>3.0</v>
      </c>
      <c r="G504" s="20">
        <v>-23.5</v>
      </c>
      <c r="I504" s="6">
        <v>0.0</v>
      </c>
      <c r="J504" s="6">
        <v>0.0</v>
      </c>
      <c r="K504" s="6">
        <v>0.0</v>
      </c>
      <c r="L504" s="6">
        <v>0.0</v>
      </c>
      <c r="M504" s="6">
        <v>0.0</v>
      </c>
      <c r="N504" s="20">
        <v>0.0</v>
      </c>
      <c r="O504" s="20">
        <v>0.0</v>
      </c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18">
        <v>45990.84885472222</v>
      </c>
      <c r="B505" s="19">
        <v>122.0</v>
      </c>
      <c r="C505" s="19" t="s">
        <v>56</v>
      </c>
      <c r="D505" s="19" t="s">
        <v>10</v>
      </c>
      <c r="E505" s="19">
        <v>36200.0</v>
      </c>
      <c r="F505" s="20">
        <v>1.0</v>
      </c>
      <c r="G505" s="20">
        <v>46.2</v>
      </c>
      <c r="I505" s="6">
        <v>0.0</v>
      </c>
      <c r="J505" s="6">
        <v>0.0</v>
      </c>
      <c r="K505" s="6">
        <v>0.0</v>
      </c>
      <c r="L505" s="6">
        <v>0.0</v>
      </c>
      <c r="M505" s="6">
        <v>0.0</v>
      </c>
      <c r="N505" s="20">
        <v>0.0</v>
      </c>
      <c r="O505" s="20">
        <v>0.0</v>
      </c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18">
        <v>45990.84710918981</v>
      </c>
      <c r="B506" s="19">
        <v>121.0</v>
      </c>
      <c r="C506" s="19" t="s">
        <v>53</v>
      </c>
      <c r="D506" s="19" t="s">
        <v>9</v>
      </c>
      <c r="E506" s="19">
        <v>23200.0</v>
      </c>
      <c r="F506" s="20">
        <v>3.0</v>
      </c>
      <c r="G506" s="20">
        <v>-16.8</v>
      </c>
      <c r="I506" s="6">
        <v>0.0</v>
      </c>
      <c r="J506" s="6">
        <v>0.0</v>
      </c>
      <c r="K506" s="6">
        <v>0.0</v>
      </c>
      <c r="L506" s="6">
        <v>0.0</v>
      </c>
      <c r="M506" s="6">
        <v>0.0</v>
      </c>
      <c r="N506" s="20">
        <v>0.0</v>
      </c>
      <c r="O506" s="20">
        <v>0.0</v>
      </c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18">
        <v>45990.84710918981</v>
      </c>
      <c r="B507" s="19">
        <v>121.0</v>
      </c>
      <c r="C507" s="19" t="s">
        <v>54</v>
      </c>
      <c r="D507" s="19" t="s">
        <v>5</v>
      </c>
      <c r="E507" s="19">
        <v>30600.0</v>
      </c>
      <c r="F507" s="20">
        <v>2.0</v>
      </c>
      <c r="G507" s="20">
        <v>10.6</v>
      </c>
      <c r="I507" s="6">
        <v>0.0</v>
      </c>
      <c r="J507" s="6">
        <v>1.0</v>
      </c>
      <c r="K507" s="6">
        <v>0.0</v>
      </c>
      <c r="L507" s="6">
        <v>0.0</v>
      </c>
      <c r="M507" s="6">
        <v>0.0</v>
      </c>
      <c r="N507" s="20">
        <v>0.0</v>
      </c>
      <c r="O507" s="20">
        <v>0.0</v>
      </c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18">
        <v>45990.84710918981</v>
      </c>
      <c r="B508" s="19">
        <v>121.0</v>
      </c>
      <c r="C508" s="19" t="s">
        <v>55</v>
      </c>
      <c r="D508" s="19" t="s">
        <v>10</v>
      </c>
      <c r="E508" s="19">
        <v>32200.0</v>
      </c>
      <c r="F508" s="20">
        <v>1.0</v>
      </c>
      <c r="G508" s="20">
        <v>42.2</v>
      </c>
      <c r="I508" s="6">
        <v>0.0</v>
      </c>
      <c r="J508" s="6">
        <v>1.0</v>
      </c>
      <c r="K508" s="6">
        <v>0.0</v>
      </c>
      <c r="L508" s="6">
        <v>0.0</v>
      </c>
      <c r="M508" s="6">
        <v>0.0</v>
      </c>
      <c r="N508" s="20">
        <v>0.0</v>
      </c>
      <c r="O508" s="20">
        <v>0.0</v>
      </c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18">
        <v>45990.84710918981</v>
      </c>
      <c r="B509" s="19">
        <v>121.0</v>
      </c>
      <c r="C509" s="19" t="s">
        <v>56</v>
      </c>
      <c r="D509" s="19" t="s">
        <v>6</v>
      </c>
      <c r="E509" s="19">
        <v>14000.0</v>
      </c>
      <c r="F509" s="20">
        <v>4.0</v>
      </c>
      <c r="G509" s="20">
        <v>-36.0</v>
      </c>
      <c r="I509" s="6">
        <v>0.0</v>
      </c>
      <c r="J509" s="6">
        <v>0.0</v>
      </c>
      <c r="K509" s="6">
        <v>0.0</v>
      </c>
      <c r="L509" s="6">
        <v>0.0</v>
      </c>
      <c r="M509" s="6">
        <v>0.0</v>
      </c>
      <c r="N509" s="20">
        <v>0.0</v>
      </c>
      <c r="O509" s="20">
        <v>0.0</v>
      </c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18">
        <v>45990.84585005787</v>
      </c>
      <c r="B510" s="19">
        <v>120.0</v>
      </c>
      <c r="C510" s="19" t="s">
        <v>53</v>
      </c>
      <c r="D510" s="19" t="s">
        <v>6</v>
      </c>
      <c r="E510" s="19">
        <v>20700.0</v>
      </c>
      <c r="F510" s="20">
        <v>2.0</v>
      </c>
      <c r="G510" s="20">
        <v>0.6999999999999993</v>
      </c>
      <c r="I510" s="6">
        <v>0.0</v>
      </c>
      <c r="J510" s="6">
        <v>0.0</v>
      </c>
      <c r="K510" s="6">
        <v>0.0</v>
      </c>
      <c r="L510" s="6">
        <v>0.0</v>
      </c>
      <c r="M510" s="6">
        <v>0.0</v>
      </c>
      <c r="N510" s="20">
        <v>0.0</v>
      </c>
      <c r="O510" s="20">
        <v>0.0</v>
      </c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18">
        <v>45990.84585005787</v>
      </c>
      <c r="B511" s="19">
        <v>120.0</v>
      </c>
      <c r="C511" s="19" t="s">
        <v>54</v>
      </c>
      <c r="D511" s="19" t="s">
        <v>9</v>
      </c>
      <c r="E511" s="19">
        <v>73200.0</v>
      </c>
      <c r="F511" s="20">
        <v>1.0</v>
      </c>
      <c r="G511" s="20">
        <v>83.2</v>
      </c>
      <c r="I511" s="6">
        <v>0.0</v>
      </c>
      <c r="J511" s="6">
        <v>0.0</v>
      </c>
      <c r="K511" s="6">
        <v>0.0</v>
      </c>
      <c r="L511" s="6">
        <v>0.0</v>
      </c>
      <c r="M511" s="6">
        <v>0.0</v>
      </c>
      <c r="N511" s="20">
        <v>0.0</v>
      </c>
      <c r="O511" s="20">
        <v>0.0</v>
      </c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18">
        <v>45990.84585005787</v>
      </c>
      <c r="B512" s="19">
        <v>120.0</v>
      </c>
      <c r="C512" s="19" t="s">
        <v>55</v>
      </c>
      <c r="D512" s="19" t="s">
        <v>10</v>
      </c>
      <c r="E512" s="19">
        <v>8800.0</v>
      </c>
      <c r="F512" s="20">
        <v>3.0</v>
      </c>
      <c r="G512" s="20">
        <v>-31.2</v>
      </c>
      <c r="I512" s="6">
        <v>0.0</v>
      </c>
      <c r="J512" s="6">
        <v>0.0</v>
      </c>
      <c r="K512" s="6">
        <v>0.0</v>
      </c>
      <c r="L512" s="6">
        <v>0.0</v>
      </c>
      <c r="M512" s="6">
        <v>0.0</v>
      </c>
      <c r="N512" s="20">
        <v>0.0</v>
      </c>
      <c r="O512" s="20">
        <v>0.0</v>
      </c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18">
        <v>45990.84585005787</v>
      </c>
      <c r="B513" s="19">
        <v>120.0</v>
      </c>
      <c r="C513" s="19" t="s">
        <v>56</v>
      </c>
      <c r="D513" s="19" t="s">
        <v>5</v>
      </c>
      <c r="E513" s="19">
        <v>-2700.0</v>
      </c>
      <c r="F513" s="20">
        <v>4.0</v>
      </c>
      <c r="G513" s="20">
        <v>-52.7</v>
      </c>
      <c r="I513" s="6">
        <v>0.0</v>
      </c>
      <c r="J513" s="6">
        <v>0.0</v>
      </c>
      <c r="K513" s="6">
        <v>0.0</v>
      </c>
      <c r="L513" s="6">
        <v>0.0</v>
      </c>
      <c r="M513" s="6">
        <v>0.0</v>
      </c>
      <c r="N513" s="20">
        <v>0.0</v>
      </c>
      <c r="O513" s="20">
        <v>0.0</v>
      </c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18">
        <v>45990.8443950463</v>
      </c>
      <c r="B514" s="19">
        <v>119.0</v>
      </c>
      <c r="C514" s="19" t="s">
        <v>53</v>
      </c>
      <c r="D514" s="19" t="s">
        <v>23</v>
      </c>
      <c r="E514" s="19">
        <v>8400.0</v>
      </c>
      <c r="F514" s="20">
        <v>4.0</v>
      </c>
      <c r="G514" s="20">
        <v>-41.6</v>
      </c>
      <c r="I514" s="6">
        <v>0.0</v>
      </c>
      <c r="J514" s="6">
        <v>0.0</v>
      </c>
      <c r="K514" s="6">
        <v>0.0</v>
      </c>
      <c r="L514" s="6">
        <v>0.0</v>
      </c>
      <c r="M514" s="6">
        <v>0.0</v>
      </c>
      <c r="N514" s="20">
        <v>0.0</v>
      </c>
      <c r="O514" s="20">
        <v>0.0</v>
      </c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18">
        <v>45990.8443950463</v>
      </c>
      <c r="B515" s="19">
        <v>119.0</v>
      </c>
      <c r="C515" s="19" t="s">
        <v>54</v>
      </c>
      <c r="D515" s="19" t="s">
        <v>9</v>
      </c>
      <c r="E515" s="19">
        <v>62600.0</v>
      </c>
      <c r="F515" s="20">
        <v>1.0</v>
      </c>
      <c r="G515" s="20">
        <v>72.6</v>
      </c>
      <c r="I515" s="6">
        <v>0.0</v>
      </c>
      <c r="J515" s="6">
        <v>0.0</v>
      </c>
      <c r="K515" s="6">
        <v>0.0</v>
      </c>
      <c r="L515" s="6">
        <v>0.0</v>
      </c>
      <c r="M515" s="6">
        <v>0.0</v>
      </c>
      <c r="N515" s="20">
        <v>0.0</v>
      </c>
      <c r="O515" s="20">
        <v>0.0</v>
      </c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18">
        <v>45990.8443950463</v>
      </c>
      <c r="B516" s="19">
        <v>119.0</v>
      </c>
      <c r="C516" s="19" t="s">
        <v>55</v>
      </c>
      <c r="D516" s="19" t="s">
        <v>13</v>
      </c>
      <c r="E516" s="19">
        <v>17000.0</v>
      </c>
      <c r="F516" s="20">
        <v>2.0</v>
      </c>
      <c r="G516" s="20">
        <v>-3.0</v>
      </c>
      <c r="I516" s="6">
        <v>0.0</v>
      </c>
      <c r="J516" s="6">
        <v>0.0</v>
      </c>
      <c r="K516" s="6">
        <v>0.0</v>
      </c>
      <c r="L516" s="6">
        <v>0.0</v>
      </c>
      <c r="M516" s="6">
        <v>0.0</v>
      </c>
      <c r="N516" s="20">
        <v>0.0</v>
      </c>
      <c r="O516" s="20">
        <v>0.0</v>
      </c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18">
        <v>45990.8443950463</v>
      </c>
      <c r="B517" s="19">
        <v>119.0</v>
      </c>
      <c r="C517" s="19" t="s">
        <v>56</v>
      </c>
      <c r="D517" s="19" t="s">
        <v>10</v>
      </c>
      <c r="E517" s="19">
        <v>12000.0</v>
      </c>
      <c r="F517" s="20">
        <v>3.0</v>
      </c>
      <c r="G517" s="20">
        <v>-28.0</v>
      </c>
      <c r="I517" s="6">
        <v>0.0</v>
      </c>
      <c r="J517" s="6">
        <v>0.0</v>
      </c>
      <c r="K517" s="6">
        <v>0.0</v>
      </c>
      <c r="L517" s="6">
        <v>0.0</v>
      </c>
      <c r="M517" s="6">
        <v>0.0</v>
      </c>
      <c r="N517" s="20">
        <v>0.0</v>
      </c>
      <c r="O517" s="20">
        <v>0.0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18">
        <v>45990.84210471065</v>
      </c>
      <c r="B518" s="19">
        <v>118.0</v>
      </c>
      <c r="C518" s="19" t="s">
        <v>53</v>
      </c>
      <c r="D518" s="19" t="s">
        <v>15</v>
      </c>
      <c r="E518" s="19">
        <v>-7000.0</v>
      </c>
      <c r="F518" s="20">
        <v>4.0</v>
      </c>
      <c r="G518" s="20">
        <v>-57.0</v>
      </c>
      <c r="I518" s="6">
        <v>0.0</v>
      </c>
      <c r="J518" s="6">
        <v>0.0</v>
      </c>
      <c r="K518" s="6">
        <v>0.0</v>
      </c>
      <c r="L518" s="6">
        <v>0.0</v>
      </c>
      <c r="M518" s="6">
        <v>0.0</v>
      </c>
      <c r="N518" s="20">
        <v>0.0</v>
      </c>
      <c r="O518" s="20">
        <v>0.0</v>
      </c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18">
        <v>45990.84210471065</v>
      </c>
      <c r="B519" s="19">
        <v>118.0</v>
      </c>
      <c r="C519" s="19" t="s">
        <v>54</v>
      </c>
      <c r="D519" s="19" t="s">
        <v>17</v>
      </c>
      <c r="E519" s="19">
        <v>29600.0</v>
      </c>
      <c r="F519" s="20">
        <v>3.0</v>
      </c>
      <c r="G519" s="20">
        <v>-10.4</v>
      </c>
      <c r="I519" s="6">
        <v>0.0</v>
      </c>
      <c r="J519" s="6">
        <v>0.0</v>
      </c>
      <c r="K519" s="6">
        <v>0.0</v>
      </c>
      <c r="L519" s="6">
        <v>0.0</v>
      </c>
      <c r="M519" s="6">
        <v>0.0</v>
      </c>
      <c r="N519" s="20">
        <v>0.0</v>
      </c>
      <c r="O519" s="20">
        <v>0.0</v>
      </c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18">
        <v>45990.84210471065</v>
      </c>
      <c r="B520" s="19">
        <v>118.0</v>
      </c>
      <c r="C520" s="19" t="s">
        <v>55</v>
      </c>
      <c r="D520" s="19" t="s">
        <v>5</v>
      </c>
      <c r="E520" s="19">
        <v>30900.0</v>
      </c>
      <c r="F520" s="20">
        <v>2.0</v>
      </c>
      <c r="G520" s="20">
        <v>10.9</v>
      </c>
      <c r="I520" s="6">
        <v>0.0</v>
      </c>
      <c r="J520" s="6">
        <v>1.0</v>
      </c>
      <c r="K520" s="6">
        <v>0.0</v>
      </c>
      <c r="L520" s="6">
        <v>0.0</v>
      </c>
      <c r="M520" s="6">
        <v>0.0</v>
      </c>
      <c r="N520" s="20">
        <v>0.0</v>
      </c>
      <c r="O520" s="20">
        <v>0.0</v>
      </c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18">
        <v>45990.84210471065</v>
      </c>
      <c r="B521" s="19">
        <v>118.0</v>
      </c>
      <c r="C521" s="19" t="s">
        <v>56</v>
      </c>
      <c r="D521" s="19" t="s">
        <v>6</v>
      </c>
      <c r="E521" s="19">
        <v>46500.0</v>
      </c>
      <c r="F521" s="20">
        <v>1.0</v>
      </c>
      <c r="G521" s="20">
        <v>56.5</v>
      </c>
      <c r="I521" s="6">
        <v>0.0</v>
      </c>
      <c r="J521" s="6">
        <v>0.0</v>
      </c>
      <c r="K521" s="6">
        <v>0.0</v>
      </c>
      <c r="L521" s="6">
        <v>0.0</v>
      </c>
      <c r="M521" s="6">
        <v>0.0</v>
      </c>
      <c r="N521" s="20">
        <v>0.0</v>
      </c>
      <c r="O521" s="20">
        <v>0.0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18">
        <v>45990.840284826394</v>
      </c>
      <c r="B522" s="19">
        <v>117.0</v>
      </c>
      <c r="C522" s="19" t="s">
        <v>53</v>
      </c>
      <c r="D522" s="19" t="s">
        <v>7</v>
      </c>
      <c r="E522" s="19">
        <v>37700.0</v>
      </c>
      <c r="F522" s="20">
        <v>1.0</v>
      </c>
      <c r="G522" s="20">
        <v>47.7</v>
      </c>
      <c r="I522" s="6">
        <v>0.0</v>
      </c>
      <c r="J522" s="6">
        <v>0.0</v>
      </c>
      <c r="K522" s="6">
        <v>0.0</v>
      </c>
      <c r="L522" s="6">
        <v>0.0</v>
      </c>
      <c r="M522" s="6">
        <v>0.0</v>
      </c>
      <c r="N522" s="20">
        <v>0.0</v>
      </c>
      <c r="O522" s="20">
        <v>0.0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18">
        <v>45990.840284826394</v>
      </c>
      <c r="B523" s="19">
        <v>117.0</v>
      </c>
      <c r="C523" s="19" t="s">
        <v>54</v>
      </c>
      <c r="D523" s="19" t="s">
        <v>5</v>
      </c>
      <c r="E523" s="19">
        <v>10200.0</v>
      </c>
      <c r="F523" s="20">
        <v>4.0</v>
      </c>
      <c r="G523" s="20">
        <v>-39.8</v>
      </c>
      <c r="I523" s="6">
        <v>0.0</v>
      </c>
      <c r="J523" s="6">
        <v>0.0</v>
      </c>
      <c r="K523" s="6">
        <v>0.0</v>
      </c>
      <c r="L523" s="6">
        <v>0.0</v>
      </c>
      <c r="M523" s="6">
        <v>0.0</v>
      </c>
      <c r="N523" s="20">
        <v>0.0</v>
      </c>
      <c r="O523" s="20">
        <v>0.0</v>
      </c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18">
        <v>45990.840284826394</v>
      </c>
      <c r="B524" s="19">
        <v>117.0</v>
      </c>
      <c r="C524" s="19" t="s">
        <v>55</v>
      </c>
      <c r="D524" s="19" t="s">
        <v>15</v>
      </c>
      <c r="E524" s="19">
        <v>16800.0</v>
      </c>
      <c r="F524" s="20">
        <v>3.0</v>
      </c>
      <c r="G524" s="20">
        <v>-23.2</v>
      </c>
      <c r="I524" s="6">
        <v>0.0</v>
      </c>
      <c r="J524" s="6">
        <v>0.0</v>
      </c>
      <c r="K524" s="6">
        <v>0.0</v>
      </c>
      <c r="L524" s="6">
        <v>0.0</v>
      </c>
      <c r="M524" s="6">
        <v>0.0</v>
      </c>
      <c r="N524" s="20">
        <v>0.0</v>
      </c>
      <c r="O524" s="20">
        <v>0.0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18">
        <v>45990.840284826394</v>
      </c>
      <c r="B525" s="19">
        <v>117.0</v>
      </c>
      <c r="C525" s="19" t="s">
        <v>56</v>
      </c>
      <c r="D525" s="19" t="s">
        <v>6</v>
      </c>
      <c r="E525" s="19">
        <v>35300.0</v>
      </c>
      <c r="F525" s="20">
        <v>2.0</v>
      </c>
      <c r="G525" s="20">
        <v>15.3</v>
      </c>
      <c r="I525" s="6">
        <v>0.0</v>
      </c>
      <c r="J525" s="6">
        <v>0.0</v>
      </c>
      <c r="K525" s="6">
        <v>0.0</v>
      </c>
      <c r="L525" s="6">
        <v>0.0</v>
      </c>
      <c r="M525" s="6">
        <v>0.0</v>
      </c>
      <c r="N525" s="20">
        <v>0.0</v>
      </c>
      <c r="O525" s="20">
        <v>0.0</v>
      </c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18">
        <v>45990.838957534725</v>
      </c>
      <c r="B526" s="19">
        <v>116.0</v>
      </c>
      <c r="C526" s="19" t="s">
        <v>53</v>
      </c>
      <c r="D526" s="19" t="s">
        <v>7</v>
      </c>
      <c r="E526" s="19">
        <v>35400.0</v>
      </c>
      <c r="F526" s="20">
        <v>1.0</v>
      </c>
      <c r="G526" s="20">
        <v>45.4</v>
      </c>
      <c r="I526" s="6">
        <v>0.0</v>
      </c>
      <c r="J526" s="6">
        <v>0.0</v>
      </c>
      <c r="K526" s="6">
        <v>0.0</v>
      </c>
      <c r="L526" s="6">
        <v>0.0</v>
      </c>
      <c r="M526" s="6">
        <v>0.0</v>
      </c>
      <c r="N526" s="20">
        <v>0.0</v>
      </c>
      <c r="O526" s="20">
        <v>0.0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18">
        <v>45990.838957534725</v>
      </c>
      <c r="B527" s="19">
        <v>116.0</v>
      </c>
      <c r="C527" s="19" t="s">
        <v>54</v>
      </c>
      <c r="D527" s="19" t="s">
        <v>5</v>
      </c>
      <c r="E527" s="19">
        <v>22300.0</v>
      </c>
      <c r="F527" s="20">
        <v>3.0</v>
      </c>
      <c r="G527" s="20">
        <v>-17.7</v>
      </c>
      <c r="I527" s="6">
        <v>0.0</v>
      </c>
      <c r="J527" s="6">
        <v>0.0</v>
      </c>
      <c r="K527" s="6">
        <v>0.0</v>
      </c>
      <c r="L527" s="6">
        <v>0.0</v>
      </c>
      <c r="M527" s="6">
        <v>0.0</v>
      </c>
      <c r="N527" s="20">
        <v>0.0</v>
      </c>
      <c r="O527" s="20">
        <v>0.0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18">
        <v>45990.838957534725</v>
      </c>
      <c r="B528" s="19">
        <v>116.0</v>
      </c>
      <c r="C528" s="19" t="s">
        <v>55</v>
      </c>
      <c r="D528" s="19" t="s">
        <v>6</v>
      </c>
      <c r="E528" s="19">
        <v>19600.0</v>
      </c>
      <c r="F528" s="20">
        <v>4.0</v>
      </c>
      <c r="G528" s="20">
        <v>-30.4</v>
      </c>
      <c r="I528" s="6">
        <v>0.0</v>
      </c>
      <c r="J528" s="6">
        <v>0.0</v>
      </c>
      <c r="K528" s="6">
        <v>0.0</v>
      </c>
      <c r="L528" s="6">
        <v>0.0</v>
      </c>
      <c r="M528" s="6">
        <v>0.0</v>
      </c>
      <c r="N528" s="20">
        <v>0.0</v>
      </c>
      <c r="O528" s="20">
        <v>0.0</v>
      </c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18">
        <v>45990.838957534725</v>
      </c>
      <c r="B529" s="19">
        <v>116.0</v>
      </c>
      <c r="C529" s="19" t="s">
        <v>56</v>
      </c>
      <c r="D529" s="19" t="s">
        <v>15</v>
      </c>
      <c r="E529" s="19">
        <v>22700.0</v>
      </c>
      <c r="F529" s="20">
        <v>2.0</v>
      </c>
      <c r="G529" s="20">
        <v>2.7</v>
      </c>
      <c r="I529" s="6">
        <v>0.0</v>
      </c>
      <c r="J529" s="6">
        <v>0.0</v>
      </c>
      <c r="K529" s="6">
        <v>0.0</v>
      </c>
      <c r="L529" s="6">
        <v>0.0</v>
      </c>
      <c r="M529" s="6">
        <v>0.0</v>
      </c>
      <c r="N529" s="20">
        <v>0.0</v>
      </c>
      <c r="O529" s="20">
        <v>0.0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18">
        <v>45989.89979422453</v>
      </c>
      <c r="B530" s="19">
        <v>115.0</v>
      </c>
      <c r="C530" s="19" t="s">
        <v>53</v>
      </c>
      <c r="D530" s="19" t="s">
        <v>13</v>
      </c>
      <c r="E530" s="19">
        <v>54000.0</v>
      </c>
      <c r="F530" s="20">
        <v>1.0</v>
      </c>
      <c r="G530" s="20">
        <v>64.0</v>
      </c>
      <c r="I530" s="6">
        <v>0.0</v>
      </c>
      <c r="J530" s="6">
        <v>1.0</v>
      </c>
      <c r="K530" s="6">
        <v>0.0</v>
      </c>
      <c r="L530" s="6">
        <v>0.0</v>
      </c>
      <c r="M530" s="6">
        <v>0.0</v>
      </c>
      <c r="N530" s="20">
        <v>0.0</v>
      </c>
      <c r="O530" s="20">
        <v>0.0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18">
        <v>45989.89979422453</v>
      </c>
      <c r="B531" s="19">
        <v>115.0</v>
      </c>
      <c r="C531" s="19" t="s">
        <v>54</v>
      </c>
      <c r="D531" s="19" t="s">
        <v>8</v>
      </c>
      <c r="E531" s="19">
        <v>-900.0</v>
      </c>
      <c r="F531" s="20">
        <v>4.0</v>
      </c>
      <c r="G531" s="20">
        <v>-50.9</v>
      </c>
      <c r="I531" s="6">
        <v>0.0</v>
      </c>
      <c r="J531" s="6">
        <v>0.0</v>
      </c>
      <c r="K531" s="6">
        <v>0.0</v>
      </c>
      <c r="L531" s="6">
        <v>0.0</v>
      </c>
      <c r="M531" s="6">
        <v>0.0</v>
      </c>
      <c r="N531" s="20">
        <v>0.0</v>
      </c>
      <c r="O531" s="20">
        <v>0.0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18">
        <v>45989.89979422453</v>
      </c>
      <c r="B532" s="19">
        <v>115.0</v>
      </c>
      <c r="C532" s="19" t="s">
        <v>55</v>
      </c>
      <c r="D532" s="19" t="s">
        <v>6</v>
      </c>
      <c r="E532" s="19">
        <v>21000.0</v>
      </c>
      <c r="F532" s="20">
        <v>3.0</v>
      </c>
      <c r="G532" s="20">
        <v>-19.0</v>
      </c>
      <c r="I532" s="6">
        <v>0.0</v>
      </c>
      <c r="J532" s="6">
        <v>0.0</v>
      </c>
      <c r="K532" s="6">
        <v>0.0</v>
      </c>
      <c r="L532" s="6">
        <v>0.0</v>
      </c>
      <c r="M532" s="6">
        <v>0.0</v>
      </c>
      <c r="N532" s="20">
        <v>0.0</v>
      </c>
      <c r="O532" s="20">
        <v>0.0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18">
        <v>45989.89979422453</v>
      </c>
      <c r="B533" s="19">
        <v>115.0</v>
      </c>
      <c r="C533" s="19" t="s">
        <v>56</v>
      </c>
      <c r="D533" s="19" t="s">
        <v>7</v>
      </c>
      <c r="E533" s="19">
        <v>25900.0</v>
      </c>
      <c r="F533" s="20">
        <v>2.0</v>
      </c>
      <c r="G533" s="20">
        <v>5.9</v>
      </c>
      <c r="I533" s="6">
        <v>0.0</v>
      </c>
      <c r="J533" s="6">
        <v>0.0</v>
      </c>
      <c r="K533" s="6">
        <v>0.0</v>
      </c>
      <c r="L533" s="6">
        <v>0.0</v>
      </c>
      <c r="M533" s="6">
        <v>0.0</v>
      </c>
      <c r="N533" s="20">
        <v>0.0</v>
      </c>
      <c r="O533" s="20">
        <v>0.0</v>
      </c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18">
        <v>45989.89979422453</v>
      </c>
      <c r="B534" s="19">
        <v>114.0</v>
      </c>
      <c r="C534" s="19" t="s">
        <v>53</v>
      </c>
      <c r="D534" s="19" t="s">
        <v>13</v>
      </c>
      <c r="E534" s="19">
        <v>-11600.0</v>
      </c>
      <c r="F534" s="20">
        <v>4.0</v>
      </c>
      <c r="G534" s="20">
        <v>-61.6</v>
      </c>
      <c r="I534" s="6">
        <v>0.0</v>
      </c>
      <c r="J534" s="6">
        <v>0.0</v>
      </c>
      <c r="K534" s="6">
        <v>0.0</v>
      </c>
      <c r="L534" s="6">
        <v>0.0</v>
      </c>
      <c r="M534" s="6">
        <v>0.0</v>
      </c>
      <c r="N534" s="20">
        <v>0.0</v>
      </c>
      <c r="O534" s="20">
        <v>0.0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18">
        <v>45989.89979422453</v>
      </c>
      <c r="B535" s="19">
        <v>114.0</v>
      </c>
      <c r="C535" s="19" t="s">
        <v>54</v>
      </c>
      <c r="D535" s="19" t="s">
        <v>8</v>
      </c>
      <c r="E535" s="19">
        <v>21800.0</v>
      </c>
      <c r="F535" s="20">
        <v>3.0</v>
      </c>
      <c r="G535" s="20">
        <v>-18.2</v>
      </c>
      <c r="I535" s="6">
        <v>0.0</v>
      </c>
      <c r="J535" s="6">
        <v>0.0</v>
      </c>
      <c r="K535" s="6">
        <v>0.0</v>
      </c>
      <c r="L535" s="6">
        <v>0.0</v>
      </c>
      <c r="M535" s="6">
        <v>0.0</v>
      </c>
      <c r="N535" s="20">
        <v>0.0</v>
      </c>
      <c r="O535" s="20">
        <v>0.0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18">
        <v>45989.89979422453</v>
      </c>
      <c r="B536" s="19">
        <v>114.0</v>
      </c>
      <c r="C536" s="19" t="s">
        <v>55</v>
      </c>
      <c r="D536" s="19" t="s">
        <v>23</v>
      </c>
      <c r="E536" s="19">
        <v>25000.0</v>
      </c>
      <c r="F536" s="20">
        <v>2.0</v>
      </c>
      <c r="G536" s="20">
        <v>5.0</v>
      </c>
      <c r="I536" s="6">
        <v>0.0</v>
      </c>
      <c r="J536" s="6">
        <v>0.0</v>
      </c>
      <c r="K536" s="6">
        <v>0.0</v>
      </c>
      <c r="L536" s="6">
        <v>0.0</v>
      </c>
      <c r="M536" s="6">
        <v>0.0</v>
      </c>
      <c r="N536" s="20">
        <v>0.0</v>
      </c>
      <c r="O536" s="20">
        <v>0.0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18">
        <v>45989.89979422453</v>
      </c>
      <c r="B537" s="19">
        <v>114.0</v>
      </c>
      <c r="C537" s="19" t="s">
        <v>56</v>
      </c>
      <c r="D537" s="19" t="s">
        <v>7</v>
      </c>
      <c r="E537" s="19">
        <v>64800.0</v>
      </c>
      <c r="F537" s="20">
        <v>1.0</v>
      </c>
      <c r="G537" s="20">
        <v>74.8</v>
      </c>
      <c r="I537" s="6">
        <v>0.0</v>
      </c>
      <c r="J537" s="6">
        <v>1.0</v>
      </c>
      <c r="K537" s="6">
        <v>0.0</v>
      </c>
      <c r="L537" s="6">
        <v>0.0</v>
      </c>
      <c r="M537" s="6">
        <v>0.0</v>
      </c>
      <c r="N537" s="20">
        <v>0.0</v>
      </c>
      <c r="O537" s="20">
        <v>0.0</v>
      </c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18">
        <v>45989.89979422453</v>
      </c>
      <c r="B538" s="19">
        <v>113.0</v>
      </c>
      <c r="C538" s="19" t="s">
        <v>53</v>
      </c>
      <c r="D538" s="19" t="s">
        <v>13</v>
      </c>
      <c r="E538" s="19">
        <v>40300.0</v>
      </c>
      <c r="F538" s="20">
        <v>1.0</v>
      </c>
      <c r="G538" s="20">
        <v>50.3</v>
      </c>
      <c r="I538" s="6">
        <v>0.0</v>
      </c>
      <c r="J538" s="6">
        <v>0.0</v>
      </c>
      <c r="K538" s="6">
        <v>1.0</v>
      </c>
      <c r="L538" s="6">
        <v>0.0</v>
      </c>
      <c r="M538" s="6">
        <v>0.0</v>
      </c>
      <c r="N538" s="20">
        <v>0.0</v>
      </c>
      <c r="O538" s="20">
        <v>0.0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18">
        <v>45989.89979422453</v>
      </c>
      <c r="B539" s="19">
        <v>113.0</v>
      </c>
      <c r="C539" s="19" t="s">
        <v>54</v>
      </c>
      <c r="D539" s="19" t="s">
        <v>8</v>
      </c>
      <c r="E539" s="19">
        <v>29900.0</v>
      </c>
      <c r="F539" s="20">
        <v>3.0</v>
      </c>
      <c r="G539" s="20">
        <v>-10.1</v>
      </c>
      <c r="I539" s="6">
        <v>0.0</v>
      </c>
      <c r="J539" s="6">
        <v>0.0</v>
      </c>
      <c r="K539" s="6">
        <v>0.0</v>
      </c>
      <c r="L539" s="6">
        <v>0.0</v>
      </c>
      <c r="M539" s="6">
        <v>0.0</v>
      </c>
      <c r="N539" s="20">
        <v>0.0</v>
      </c>
      <c r="O539" s="20">
        <v>0.0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18">
        <v>45989.89979422453</v>
      </c>
      <c r="B540" s="19">
        <v>113.0</v>
      </c>
      <c r="C540" s="19" t="s">
        <v>55</v>
      </c>
      <c r="D540" s="19" t="s">
        <v>7</v>
      </c>
      <c r="E540" s="19">
        <v>-2000.0</v>
      </c>
      <c r="F540" s="20">
        <v>4.0</v>
      </c>
      <c r="G540" s="20">
        <v>-52.0</v>
      </c>
      <c r="I540" s="6">
        <v>0.0</v>
      </c>
      <c r="J540" s="6">
        <v>0.0</v>
      </c>
      <c r="K540" s="6">
        <v>0.0</v>
      </c>
      <c r="L540" s="6">
        <v>0.0</v>
      </c>
      <c r="M540" s="6">
        <v>0.0</v>
      </c>
      <c r="N540" s="20">
        <v>0.0</v>
      </c>
      <c r="O540" s="20">
        <v>0.0</v>
      </c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18">
        <v>45989.89979422453</v>
      </c>
      <c r="B541" s="19">
        <v>113.0</v>
      </c>
      <c r="C541" s="19" t="s">
        <v>56</v>
      </c>
      <c r="D541" s="19" t="s">
        <v>23</v>
      </c>
      <c r="E541" s="19">
        <v>31800.0</v>
      </c>
      <c r="F541" s="20">
        <v>2.0</v>
      </c>
      <c r="G541" s="20">
        <v>11.8</v>
      </c>
      <c r="I541" s="6">
        <v>0.0</v>
      </c>
      <c r="J541" s="6">
        <v>1.0</v>
      </c>
      <c r="K541" s="6">
        <v>0.0</v>
      </c>
      <c r="L541" s="6">
        <v>0.0</v>
      </c>
      <c r="M541" s="6">
        <v>0.0</v>
      </c>
      <c r="N541" s="20">
        <v>0.0</v>
      </c>
      <c r="O541" s="20">
        <v>0.0</v>
      </c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18">
        <v>45989.898541041664</v>
      </c>
      <c r="B542" s="19">
        <v>112.0</v>
      </c>
      <c r="C542" s="19" t="s">
        <v>53</v>
      </c>
      <c r="D542" s="19" t="s">
        <v>7</v>
      </c>
      <c r="E542" s="19">
        <v>21300.0</v>
      </c>
      <c r="F542" s="20">
        <v>2.0</v>
      </c>
      <c r="G542" s="20">
        <v>1.3000000000000007</v>
      </c>
      <c r="I542" s="6">
        <v>1.0</v>
      </c>
      <c r="J542" s="6">
        <v>0.0</v>
      </c>
      <c r="K542" s="6">
        <v>0.0</v>
      </c>
      <c r="L542" s="6">
        <v>0.0</v>
      </c>
      <c r="M542" s="6">
        <v>0.0</v>
      </c>
      <c r="N542" s="20">
        <v>0.0</v>
      </c>
      <c r="O542" s="20">
        <v>0.0</v>
      </c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18">
        <v>45989.898541041664</v>
      </c>
      <c r="B543" s="19">
        <v>112.0</v>
      </c>
      <c r="C543" s="19" t="s">
        <v>54</v>
      </c>
      <c r="D543" s="19" t="s">
        <v>8</v>
      </c>
      <c r="E543" s="19">
        <v>20900.0</v>
      </c>
      <c r="F543" s="20">
        <v>3.0</v>
      </c>
      <c r="G543" s="20">
        <v>-19.1</v>
      </c>
      <c r="I543" s="6">
        <v>0.0</v>
      </c>
      <c r="J543" s="6">
        <v>0.0</v>
      </c>
      <c r="K543" s="6">
        <v>0.0</v>
      </c>
      <c r="L543" s="6">
        <v>0.0</v>
      </c>
      <c r="M543" s="6">
        <v>0.0</v>
      </c>
      <c r="N543" s="20">
        <v>0.0</v>
      </c>
      <c r="O543" s="20">
        <v>0.0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18">
        <v>45989.898541041664</v>
      </c>
      <c r="B544" s="19">
        <v>112.0</v>
      </c>
      <c r="C544" s="19" t="s">
        <v>55</v>
      </c>
      <c r="D544" s="19" t="s">
        <v>13</v>
      </c>
      <c r="E544" s="19">
        <v>19300.0</v>
      </c>
      <c r="F544" s="20">
        <v>4.0</v>
      </c>
      <c r="G544" s="20">
        <v>-30.7</v>
      </c>
      <c r="I544" s="6">
        <v>0.0</v>
      </c>
      <c r="J544" s="6">
        <v>0.0</v>
      </c>
      <c r="K544" s="6">
        <v>0.0</v>
      </c>
      <c r="L544" s="6">
        <v>0.0</v>
      </c>
      <c r="M544" s="6">
        <v>0.0</v>
      </c>
      <c r="N544" s="20">
        <v>0.0</v>
      </c>
      <c r="O544" s="20">
        <v>0.0</v>
      </c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18">
        <v>45989.898541041664</v>
      </c>
      <c r="B545" s="19">
        <v>112.0</v>
      </c>
      <c r="C545" s="19" t="s">
        <v>56</v>
      </c>
      <c r="D545" s="19" t="s">
        <v>6</v>
      </c>
      <c r="E545" s="19">
        <v>38500.0</v>
      </c>
      <c r="F545" s="20">
        <v>1.0</v>
      </c>
      <c r="G545" s="20">
        <v>48.5</v>
      </c>
      <c r="I545" s="6">
        <v>0.0</v>
      </c>
      <c r="J545" s="6">
        <v>1.0</v>
      </c>
      <c r="K545" s="6">
        <v>0.0</v>
      </c>
      <c r="L545" s="6">
        <v>0.0</v>
      </c>
      <c r="M545" s="6">
        <v>0.0</v>
      </c>
      <c r="N545" s="20">
        <v>0.0</v>
      </c>
      <c r="O545" s="20">
        <v>0.0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18">
        <v>45989.897062337965</v>
      </c>
      <c r="B546" s="19">
        <v>111.0</v>
      </c>
      <c r="C546" s="19" t="s">
        <v>53</v>
      </c>
      <c r="D546" s="19" t="s">
        <v>13</v>
      </c>
      <c r="E546" s="19">
        <v>33900.0</v>
      </c>
      <c r="F546" s="20">
        <v>2.0</v>
      </c>
      <c r="G546" s="20">
        <v>13.9</v>
      </c>
      <c r="I546" s="6">
        <v>0.0</v>
      </c>
      <c r="J546" s="6">
        <v>0.0</v>
      </c>
      <c r="K546" s="6">
        <v>0.0</v>
      </c>
      <c r="L546" s="6">
        <v>0.0</v>
      </c>
      <c r="M546" s="6">
        <v>0.0</v>
      </c>
      <c r="N546" s="20">
        <v>0.0</v>
      </c>
      <c r="O546" s="20">
        <v>0.0</v>
      </c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18">
        <v>45989.897062337965</v>
      </c>
      <c r="B547" s="19">
        <v>111.0</v>
      </c>
      <c r="C547" s="19" t="s">
        <v>54</v>
      </c>
      <c r="D547" s="19" t="s">
        <v>8</v>
      </c>
      <c r="E547" s="19">
        <v>-2000.0</v>
      </c>
      <c r="F547" s="20">
        <v>4.0</v>
      </c>
      <c r="G547" s="20">
        <v>-52.0</v>
      </c>
      <c r="I547" s="6">
        <v>0.0</v>
      </c>
      <c r="J547" s="6">
        <v>0.0</v>
      </c>
      <c r="K547" s="6">
        <v>0.0</v>
      </c>
      <c r="L547" s="6">
        <v>0.0</v>
      </c>
      <c r="M547" s="6">
        <v>0.0</v>
      </c>
      <c r="N547" s="20">
        <v>0.0</v>
      </c>
      <c r="O547" s="20">
        <v>0.0</v>
      </c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18">
        <v>45989.897062337965</v>
      </c>
      <c r="B548" s="19">
        <v>111.0</v>
      </c>
      <c r="C548" s="19" t="s">
        <v>55</v>
      </c>
      <c r="D548" s="19" t="s">
        <v>6</v>
      </c>
      <c r="E548" s="19">
        <v>26000.0</v>
      </c>
      <c r="F548" s="20">
        <v>3.0</v>
      </c>
      <c r="G548" s="20">
        <v>-14.0</v>
      </c>
      <c r="I548" s="6">
        <v>1.0</v>
      </c>
      <c r="J548" s="6">
        <v>0.0</v>
      </c>
      <c r="K548" s="6">
        <v>0.0</v>
      </c>
      <c r="L548" s="6">
        <v>0.0</v>
      </c>
      <c r="M548" s="6">
        <v>0.0</v>
      </c>
      <c r="N548" s="20">
        <v>0.0</v>
      </c>
      <c r="O548" s="20">
        <v>0.0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18">
        <v>45989.897062337965</v>
      </c>
      <c r="B549" s="19">
        <v>111.0</v>
      </c>
      <c r="C549" s="19" t="s">
        <v>56</v>
      </c>
      <c r="D549" s="19" t="s">
        <v>7</v>
      </c>
      <c r="E549" s="19">
        <v>42100.0</v>
      </c>
      <c r="F549" s="20">
        <v>1.0</v>
      </c>
      <c r="G549" s="20">
        <v>52.1</v>
      </c>
      <c r="I549" s="6">
        <v>1.0</v>
      </c>
      <c r="J549" s="6">
        <v>1.0</v>
      </c>
      <c r="K549" s="6">
        <v>0.0</v>
      </c>
      <c r="L549" s="6">
        <v>0.0</v>
      </c>
      <c r="M549" s="6">
        <v>0.0</v>
      </c>
      <c r="N549" s="20">
        <v>0.0</v>
      </c>
      <c r="O549" s="20">
        <v>0.0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18">
        <v>45989.858011331016</v>
      </c>
      <c r="B550" s="19">
        <v>110.0</v>
      </c>
      <c r="C550" s="19" t="s">
        <v>53</v>
      </c>
      <c r="D550" s="19" t="s">
        <v>23</v>
      </c>
      <c r="E550" s="19">
        <v>-600.0</v>
      </c>
      <c r="F550" s="20">
        <v>4.0</v>
      </c>
      <c r="G550" s="20">
        <v>-50.6</v>
      </c>
      <c r="I550" s="6">
        <v>0.0</v>
      </c>
      <c r="J550" s="6">
        <v>0.0</v>
      </c>
      <c r="K550" s="6">
        <v>0.0</v>
      </c>
      <c r="L550" s="6">
        <v>0.0</v>
      </c>
      <c r="M550" s="6">
        <v>0.0</v>
      </c>
      <c r="N550" s="20">
        <v>0.0</v>
      </c>
      <c r="O550" s="20">
        <v>0.0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18">
        <v>45989.858011331016</v>
      </c>
      <c r="B551" s="19">
        <v>110.0</v>
      </c>
      <c r="C551" s="19" t="s">
        <v>54</v>
      </c>
      <c r="D551" s="19" t="s">
        <v>8</v>
      </c>
      <c r="E551" s="19">
        <v>18700.0</v>
      </c>
      <c r="F551" s="20">
        <v>3.0</v>
      </c>
      <c r="G551" s="20">
        <v>-21.3</v>
      </c>
      <c r="I551" s="6">
        <v>0.0</v>
      </c>
      <c r="J551" s="6">
        <v>0.0</v>
      </c>
      <c r="K551" s="6">
        <v>0.0</v>
      </c>
      <c r="L551" s="6">
        <v>0.0</v>
      </c>
      <c r="M551" s="6">
        <v>0.0</v>
      </c>
      <c r="N551" s="20">
        <v>0.0</v>
      </c>
      <c r="O551" s="20">
        <v>0.0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18">
        <v>45989.858011331016</v>
      </c>
      <c r="B552" s="19">
        <v>110.0</v>
      </c>
      <c r="C552" s="19" t="s">
        <v>55</v>
      </c>
      <c r="D552" s="19" t="s">
        <v>13</v>
      </c>
      <c r="E552" s="19">
        <v>27300.0</v>
      </c>
      <c r="F552" s="20">
        <v>2.0</v>
      </c>
      <c r="G552" s="20">
        <v>7.3</v>
      </c>
      <c r="I552" s="6">
        <v>0.0</v>
      </c>
      <c r="J552" s="6">
        <v>0.0</v>
      </c>
      <c r="K552" s="6">
        <v>0.0</v>
      </c>
      <c r="L552" s="6">
        <v>0.0</v>
      </c>
      <c r="M552" s="6">
        <v>0.0</v>
      </c>
      <c r="N552" s="20">
        <v>0.0</v>
      </c>
      <c r="O552" s="20">
        <v>0.0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18">
        <v>45989.858011331016</v>
      </c>
      <c r="B553" s="19">
        <v>110.0</v>
      </c>
      <c r="C553" s="19" t="s">
        <v>56</v>
      </c>
      <c r="D553" s="19" t="s">
        <v>6</v>
      </c>
      <c r="E553" s="19">
        <v>54600.0</v>
      </c>
      <c r="F553" s="20">
        <v>1.0</v>
      </c>
      <c r="G553" s="20">
        <v>64.6</v>
      </c>
      <c r="I553" s="6">
        <v>0.0</v>
      </c>
      <c r="J553" s="6">
        <v>1.0</v>
      </c>
      <c r="K553" s="6">
        <v>0.0</v>
      </c>
      <c r="L553" s="6">
        <v>0.0</v>
      </c>
      <c r="M553" s="6">
        <v>0.0</v>
      </c>
      <c r="N553" s="20">
        <v>0.0</v>
      </c>
      <c r="O553" s="20">
        <v>0.0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18">
        <v>45986.06463043981</v>
      </c>
      <c r="B554" s="19">
        <v>109.0</v>
      </c>
      <c r="C554" s="19" t="s">
        <v>53</v>
      </c>
      <c r="D554" s="19" t="s">
        <v>9</v>
      </c>
      <c r="E554" s="19">
        <v>19700.0</v>
      </c>
      <c r="F554" s="20">
        <v>2.0</v>
      </c>
      <c r="G554" s="20">
        <v>-0.3000000000000007</v>
      </c>
      <c r="I554" s="6">
        <v>7.0</v>
      </c>
      <c r="J554" s="6">
        <v>3.0</v>
      </c>
      <c r="K554" s="6">
        <v>1.0</v>
      </c>
      <c r="L554" s="6">
        <v>0.0</v>
      </c>
      <c r="M554" s="6">
        <v>1.0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18">
        <v>45986.06463043981</v>
      </c>
      <c r="B555" s="19">
        <v>109.0</v>
      </c>
      <c r="C555" s="19" t="s">
        <v>54</v>
      </c>
      <c r="D555" s="19" t="s">
        <v>6</v>
      </c>
      <c r="E555" s="19">
        <v>68200.0</v>
      </c>
      <c r="F555" s="20">
        <v>1.0</v>
      </c>
      <c r="G555" s="20">
        <v>78.2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18">
        <v>45986.06463043981</v>
      </c>
      <c r="B556" s="19">
        <v>109.0</v>
      </c>
      <c r="C556" s="19" t="s">
        <v>55</v>
      </c>
      <c r="D556" s="19" t="s">
        <v>13</v>
      </c>
      <c r="E556" s="19">
        <v>16100.0</v>
      </c>
      <c r="F556" s="20">
        <v>3.0</v>
      </c>
      <c r="G556" s="20">
        <v>-23.9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18">
        <v>45986.06463043981</v>
      </c>
      <c r="B557" s="19">
        <v>109.0</v>
      </c>
      <c r="C557" s="19" t="s">
        <v>56</v>
      </c>
      <c r="D557" s="19" t="s">
        <v>7</v>
      </c>
      <c r="E557" s="19">
        <v>-4000.0</v>
      </c>
      <c r="F557" s="20">
        <v>4.0</v>
      </c>
      <c r="G557" s="20">
        <v>-54.0</v>
      </c>
      <c r="I557" s="6">
        <v>8.0</v>
      </c>
      <c r="J557" s="6">
        <v>4.0</v>
      </c>
      <c r="K557" s="6">
        <v>1.0</v>
      </c>
      <c r="L557" s="6">
        <v>0.0</v>
      </c>
      <c r="M557" s="6">
        <v>1.0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18">
        <v>45986.06435609954</v>
      </c>
      <c r="B558" s="19">
        <v>108.0</v>
      </c>
      <c r="C558" s="19" t="s">
        <v>53</v>
      </c>
      <c r="D558" s="19" t="s">
        <v>8</v>
      </c>
      <c r="E558" s="19">
        <v>45900.0</v>
      </c>
      <c r="F558" s="20">
        <v>1.0</v>
      </c>
      <c r="G558" s="20">
        <v>55.9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18">
        <v>45986.06435609954</v>
      </c>
      <c r="B559" s="19">
        <v>108.0</v>
      </c>
      <c r="C559" s="19" t="s">
        <v>54</v>
      </c>
      <c r="D559" s="19" t="s">
        <v>22</v>
      </c>
      <c r="E559" s="19">
        <v>-2000.0</v>
      </c>
      <c r="F559" s="20">
        <v>4.0</v>
      </c>
      <c r="G559" s="20">
        <v>-52.0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18">
        <v>45986.06435609954</v>
      </c>
      <c r="B560" s="19">
        <v>108.0</v>
      </c>
      <c r="C560" s="19" t="s">
        <v>55</v>
      </c>
      <c r="D560" s="19" t="s">
        <v>11</v>
      </c>
      <c r="E560" s="19">
        <v>28100.0</v>
      </c>
      <c r="F560" s="20">
        <v>2.0</v>
      </c>
      <c r="G560" s="20">
        <v>8.1</v>
      </c>
      <c r="I560" s="6">
        <v>3.0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18">
        <v>45986.06435609954</v>
      </c>
      <c r="B561" s="19">
        <v>108.0</v>
      </c>
      <c r="C561" s="19" t="s">
        <v>56</v>
      </c>
      <c r="D561" s="19" t="s">
        <v>15</v>
      </c>
      <c r="E561" s="19">
        <v>28000.0</v>
      </c>
      <c r="F561" s="20">
        <v>3.0</v>
      </c>
      <c r="G561" s="20">
        <v>-12.0</v>
      </c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18">
        <v>45986.06407475694</v>
      </c>
      <c r="B562" s="19">
        <v>107.0</v>
      </c>
      <c r="C562" s="19" t="s">
        <v>53</v>
      </c>
      <c r="D562" s="19" t="s">
        <v>8</v>
      </c>
      <c r="E562" s="19">
        <v>30000.0</v>
      </c>
      <c r="F562" s="20">
        <v>3.0</v>
      </c>
      <c r="G562" s="20">
        <v>-10.0</v>
      </c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18">
        <v>45986.06407475694</v>
      </c>
      <c r="B563" s="19">
        <v>107.0</v>
      </c>
      <c r="C563" s="19" t="s">
        <v>54</v>
      </c>
      <c r="D563" s="19" t="s">
        <v>22</v>
      </c>
      <c r="E563" s="19">
        <v>34200.0</v>
      </c>
      <c r="F563" s="20">
        <v>2.0</v>
      </c>
      <c r="G563" s="20">
        <v>14.2</v>
      </c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18">
        <v>45986.06407475694</v>
      </c>
      <c r="B564" s="19">
        <v>107.0</v>
      </c>
      <c r="C564" s="19" t="s">
        <v>55</v>
      </c>
      <c r="D564" s="19" t="s">
        <v>13</v>
      </c>
      <c r="E564" s="19">
        <v>-6800.0</v>
      </c>
      <c r="F564" s="20">
        <v>4.0</v>
      </c>
      <c r="G564" s="20">
        <v>-56.8</v>
      </c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18">
        <v>45986.06407475694</v>
      </c>
      <c r="B565" s="19">
        <v>107.0</v>
      </c>
      <c r="C565" s="19" t="s">
        <v>56</v>
      </c>
      <c r="D565" s="19" t="s">
        <v>9</v>
      </c>
      <c r="E565" s="19">
        <v>42600.0</v>
      </c>
      <c r="F565" s="20">
        <v>1.0</v>
      </c>
      <c r="G565" s="20">
        <v>52.6</v>
      </c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18">
        <v>45986.06380621528</v>
      </c>
      <c r="B566" s="19">
        <v>106.0</v>
      </c>
      <c r="C566" s="19" t="s">
        <v>53</v>
      </c>
      <c r="D566" s="19" t="s">
        <v>7</v>
      </c>
      <c r="E566" s="19">
        <v>31900.0</v>
      </c>
      <c r="F566" s="20">
        <v>2.0</v>
      </c>
      <c r="G566" s="20">
        <v>11.9</v>
      </c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18">
        <v>45986.06380621528</v>
      </c>
      <c r="B567" s="19">
        <v>106.0</v>
      </c>
      <c r="C567" s="19" t="s">
        <v>54</v>
      </c>
      <c r="D567" s="19" t="s">
        <v>11</v>
      </c>
      <c r="E567" s="19">
        <v>2000.0</v>
      </c>
      <c r="F567" s="20">
        <v>4.0</v>
      </c>
      <c r="G567" s="20">
        <v>-48.0</v>
      </c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18">
        <v>45986.06380621528</v>
      </c>
      <c r="B568" s="19">
        <v>106.0</v>
      </c>
      <c r="C568" s="19" t="s">
        <v>55</v>
      </c>
      <c r="D568" s="19" t="s">
        <v>15</v>
      </c>
      <c r="E568" s="19">
        <v>22500.0</v>
      </c>
      <c r="F568" s="20">
        <v>3.0</v>
      </c>
      <c r="G568" s="20">
        <v>-17.5</v>
      </c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18">
        <v>45986.06380621528</v>
      </c>
      <c r="B569" s="19">
        <v>106.0</v>
      </c>
      <c r="C569" s="19" t="s">
        <v>56</v>
      </c>
      <c r="D569" s="19" t="s">
        <v>6</v>
      </c>
      <c r="E569" s="19">
        <v>43600.0</v>
      </c>
      <c r="F569" s="20">
        <v>1.0</v>
      </c>
      <c r="G569" s="20">
        <v>53.6</v>
      </c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18">
        <v>45986.06353850695</v>
      </c>
      <c r="B570" s="19">
        <v>105.0</v>
      </c>
      <c r="C570" s="19" t="s">
        <v>53</v>
      </c>
      <c r="D570" s="19" t="s">
        <v>21</v>
      </c>
      <c r="E570" s="19">
        <v>-25600.0</v>
      </c>
      <c r="F570" s="20">
        <v>4.0</v>
      </c>
      <c r="G570" s="20">
        <v>-75.6</v>
      </c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18">
        <v>45986.06353850695</v>
      </c>
      <c r="B571" s="19">
        <v>105.0</v>
      </c>
      <c r="C571" s="19" t="s">
        <v>54</v>
      </c>
      <c r="D571" s="19" t="s">
        <v>6</v>
      </c>
      <c r="E571" s="19">
        <v>22600.0</v>
      </c>
      <c r="F571" s="20">
        <v>3.0</v>
      </c>
      <c r="G571" s="20">
        <v>-17.4</v>
      </c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18">
        <v>45986.06353850695</v>
      </c>
      <c r="B572" s="19">
        <v>105.0</v>
      </c>
      <c r="C572" s="19" t="s">
        <v>55</v>
      </c>
      <c r="D572" s="19" t="s">
        <v>9</v>
      </c>
      <c r="E572" s="19">
        <v>47100.0</v>
      </c>
      <c r="F572" s="20">
        <v>2.0</v>
      </c>
      <c r="G572" s="20">
        <v>27.1</v>
      </c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18">
        <v>45986.06353850695</v>
      </c>
      <c r="B573" s="19">
        <v>105.0</v>
      </c>
      <c r="C573" s="19" t="s">
        <v>56</v>
      </c>
      <c r="D573" s="19" t="s">
        <v>7</v>
      </c>
      <c r="E573" s="19">
        <v>55900.0</v>
      </c>
      <c r="F573" s="20">
        <v>1.0</v>
      </c>
      <c r="G573" s="20">
        <v>65.9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18">
        <v>45986.06325112269</v>
      </c>
      <c r="B574" s="19">
        <v>104.0</v>
      </c>
      <c r="C574" s="19" t="s">
        <v>53</v>
      </c>
      <c r="D574" s="19" t="s">
        <v>8</v>
      </c>
      <c r="E574" s="19">
        <v>14300.0</v>
      </c>
      <c r="F574" s="20">
        <v>3.0</v>
      </c>
      <c r="G574" s="20">
        <v>-25.7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18">
        <v>45986.06325112269</v>
      </c>
      <c r="B575" s="19">
        <v>104.0</v>
      </c>
      <c r="C575" s="19" t="s">
        <v>54</v>
      </c>
      <c r="D575" s="19" t="s">
        <v>13</v>
      </c>
      <c r="E575" s="19">
        <v>32600.0</v>
      </c>
      <c r="F575" s="20">
        <v>2.0</v>
      </c>
      <c r="G575" s="20">
        <v>12.6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18">
        <v>45986.06325112269</v>
      </c>
      <c r="B576" s="19">
        <v>104.0</v>
      </c>
      <c r="C576" s="19" t="s">
        <v>55</v>
      </c>
      <c r="D576" s="19" t="s">
        <v>9</v>
      </c>
      <c r="E576" s="19">
        <v>11400.0</v>
      </c>
      <c r="F576" s="20">
        <v>4.0</v>
      </c>
      <c r="G576" s="20">
        <v>-38.6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18">
        <v>45986.06325112269</v>
      </c>
      <c r="B577" s="19">
        <v>104.0</v>
      </c>
      <c r="C577" s="19" t="s">
        <v>56</v>
      </c>
      <c r="D577" s="19" t="s">
        <v>7</v>
      </c>
      <c r="E577" s="19">
        <v>41700.0</v>
      </c>
      <c r="F577" s="20">
        <v>1.0</v>
      </c>
      <c r="G577" s="20">
        <v>51.7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18">
        <v>45986.062838425925</v>
      </c>
      <c r="B578" s="19">
        <v>103.0</v>
      </c>
      <c r="C578" s="19" t="s">
        <v>53</v>
      </c>
      <c r="D578" s="19" t="s">
        <v>9</v>
      </c>
      <c r="E578" s="19">
        <v>21500.0</v>
      </c>
      <c r="F578" s="20">
        <v>3.0</v>
      </c>
      <c r="G578" s="20">
        <v>-18.5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18">
        <v>45986.062838425925</v>
      </c>
      <c r="B579" s="19">
        <v>103.0</v>
      </c>
      <c r="C579" s="19" t="s">
        <v>54</v>
      </c>
      <c r="D579" s="19" t="s">
        <v>21</v>
      </c>
      <c r="E579" s="19">
        <v>26100.0</v>
      </c>
      <c r="F579" s="20">
        <v>2.0</v>
      </c>
      <c r="G579" s="20">
        <v>6.1</v>
      </c>
      <c r="I579" s="6">
        <v>1.0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18">
        <v>45986.062838425925</v>
      </c>
      <c r="B580" s="19">
        <v>103.0</v>
      </c>
      <c r="C580" s="19" t="s">
        <v>55</v>
      </c>
      <c r="D580" s="19" t="s">
        <v>7</v>
      </c>
      <c r="E580" s="19">
        <v>41400.0</v>
      </c>
      <c r="F580" s="20">
        <v>1.0</v>
      </c>
      <c r="G580" s="20">
        <v>51.4</v>
      </c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18">
        <v>45986.062838425925</v>
      </c>
      <c r="B581" s="19">
        <v>103.0</v>
      </c>
      <c r="C581" s="19" t="s">
        <v>56</v>
      </c>
      <c r="D581" s="19" t="s">
        <v>6</v>
      </c>
      <c r="E581" s="19">
        <v>11000.0</v>
      </c>
      <c r="F581" s="20">
        <v>4.0</v>
      </c>
      <c r="G581" s="20">
        <v>-39.0</v>
      </c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18">
        <v>45986.06257756945</v>
      </c>
      <c r="B582" s="19">
        <v>102.0</v>
      </c>
      <c r="C582" s="19" t="s">
        <v>53</v>
      </c>
      <c r="D582" s="19" t="s">
        <v>15</v>
      </c>
      <c r="E582" s="19">
        <v>31100.0</v>
      </c>
      <c r="F582" s="20">
        <v>2.0</v>
      </c>
      <c r="G582" s="20">
        <v>11.1</v>
      </c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18">
        <v>45986.06257756945</v>
      </c>
      <c r="B583" s="19">
        <v>102.0</v>
      </c>
      <c r="C583" s="19" t="s">
        <v>54</v>
      </c>
      <c r="D583" s="19" t="s">
        <v>6</v>
      </c>
      <c r="E583" s="19">
        <v>18900.0</v>
      </c>
      <c r="F583" s="20">
        <v>3.0</v>
      </c>
      <c r="G583" s="20">
        <v>-21.1</v>
      </c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18">
        <v>45986.06257756945</v>
      </c>
      <c r="B584" s="19">
        <v>102.0</v>
      </c>
      <c r="C584" s="19" t="s">
        <v>55</v>
      </c>
      <c r="D584" s="19" t="s">
        <v>21</v>
      </c>
      <c r="E584" s="19">
        <v>35300.0</v>
      </c>
      <c r="F584" s="20">
        <v>1.0</v>
      </c>
      <c r="G584" s="20">
        <v>45.3</v>
      </c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18">
        <v>45986.06257756945</v>
      </c>
      <c r="B585" s="19">
        <v>102.0</v>
      </c>
      <c r="C585" s="19" t="s">
        <v>56</v>
      </c>
      <c r="D585" s="19" t="s">
        <v>11</v>
      </c>
      <c r="E585" s="19">
        <v>14700.0</v>
      </c>
      <c r="F585" s="20">
        <v>4.0</v>
      </c>
      <c r="G585" s="20">
        <v>-35.3</v>
      </c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18">
        <v>45986.062298599536</v>
      </c>
      <c r="B586" s="19">
        <v>101.0</v>
      </c>
      <c r="C586" s="19" t="s">
        <v>53</v>
      </c>
      <c r="D586" s="19" t="s">
        <v>11</v>
      </c>
      <c r="E586" s="19">
        <v>19500.0</v>
      </c>
      <c r="F586" s="20">
        <v>2.0</v>
      </c>
      <c r="G586" s="20">
        <v>-0.5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18">
        <v>45986.062298599536</v>
      </c>
      <c r="B587" s="19">
        <v>101.0</v>
      </c>
      <c r="C587" s="19" t="s">
        <v>54</v>
      </c>
      <c r="D587" s="19" t="s">
        <v>8</v>
      </c>
      <c r="E587" s="19">
        <v>16500.0</v>
      </c>
      <c r="F587" s="20">
        <v>4.0</v>
      </c>
      <c r="G587" s="20">
        <v>-33.5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18">
        <v>45986.062298599536</v>
      </c>
      <c r="B588" s="19">
        <v>101.0</v>
      </c>
      <c r="C588" s="19" t="s">
        <v>55</v>
      </c>
      <c r="D588" s="19" t="s">
        <v>13</v>
      </c>
      <c r="E588" s="19">
        <v>18700.0</v>
      </c>
      <c r="F588" s="20">
        <v>3.0</v>
      </c>
      <c r="G588" s="20">
        <v>-21.3</v>
      </c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18">
        <v>45986.062298599536</v>
      </c>
      <c r="B589" s="19">
        <v>101.0</v>
      </c>
      <c r="C589" s="19" t="s">
        <v>56</v>
      </c>
      <c r="D589" s="19" t="s">
        <v>15</v>
      </c>
      <c r="E589" s="19">
        <v>45300.0</v>
      </c>
      <c r="F589" s="20">
        <v>1.0</v>
      </c>
      <c r="G589" s="20">
        <v>55.3</v>
      </c>
      <c r="I589" s="6">
        <v>2.0</v>
      </c>
      <c r="J589" s="6">
        <v>1.0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18">
        <v>45986.06205126157</v>
      </c>
      <c r="B590" s="19">
        <v>100.0</v>
      </c>
      <c r="C590" s="19" t="s">
        <v>53</v>
      </c>
      <c r="D590" s="19" t="s">
        <v>13</v>
      </c>
      <c r="E590" s="19">
        <v>35300.0</v>
      </c>
      <c r="F590" s="20">
        <v>2.0</v>
      </c>
      <c r="G590" s="20">
        <v>15.3</v>
      </c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18">
        <v>45986.06205126157</v>
      </c>
      <c r="B591" s="19">
        <v>100.0</v>
      </c>
      <c r="C591" s="19" t="s">
        <v>54</v>
      </c>
      <c r="D591" s="19" t="s">
        <v>8</v>
      </c>
      <c r="E591" s="19">
        <v>25300.0</v>
      </c>
      <c r="F591" s="20">
        <v>3.0</v>
      </c>
      <c r="G591" s="20">
        <v>-14.7</v>
      </c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18">
        <v>45986.06205126157</v>
      </c>
      <c r="B592" s="19">
        <v>100.0</v>
      </c>
      <c r="C592" s="19" t="s">
        <v>55</v>
      </c>
      <c r="D592" s="19" t="s">
        <v>9</v>
      </c>
      <c r="E592" s="19">
        <v>44900.0</v>
      </c>
      <c r="F592" s="20">
        <v>1.0</v>
      </c>
      <c r="G592" s="20">
        <v>54.9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18">
        <v>45986.06205126157</v>
      </c>
      <c r="B593" s="19">
        <v>100.0</v>
      </c>
      <c r="C593" s="19" t="s">
        <v>56</v>
      </c>
      <c r="D593" s="19" t="s">
        <v>15</v>
      </c>
      <c r="E593" s="19">
        <v>-5500.0</v>
      </c>
      <c r="F593" s="20">
        <v>4.0</v>
      </c>
      <c r="G593" s="20">
        <v>-55.5</v>
      </c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18">
        <v>45986.061532962965</v>
      </c>
      <c r="B594" s="19">
        <v>99.0</v>
      </c>
      <c r="C594" s="19" t="s">
        <v>53</v>
      </c>
      <c r="D594" s="19" t="s">
        <v>11</v>
      </c>
      <c r="E594" s="19">
        <v>16400.0</v>
      </c>
      <c r="F594" s="20">
        <v>4.0</v>
      </c>
      <c r="G594" s="20">
        <v>-33.6</v>
      </c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18">
        <v>45986.061532962965</v>
      </c>
      <c r="B595" s="19">
        <v>99.0</v>
      </c>
      <c r="C595" s="19" t="s">
        <v>54</v>
      </c>
      <c r="D595" s="19" t="s">
        <v>21</v>
      </c>
      <c r="E595" s="19">
        <v>18600.0</v>
      </c>
      <c r="F595" s="20">
        <v>3.0</v>
      </c>
      <c r="G595" s="20">
        <v>-21.4</v>
      </c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18">
        <v>45986.061532962965</v>
      </c>
      <c r="B596" s="19">
        <v>99.0</v>
      </c>
      <c r="C596" s="19" t="s">
        <v>55</v>
      </c>
      <c r="D596" s="19" t="s">
        <v>6</v>
      </c>
      <c r="E596" s="19">
        <v>25400.0</v>
      </c>
      <c r="F596" s="20">
        <v>2.0</v>
      </c>
      <c r="G596" s="20">
        <v>5.4</v>
      </c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18">
        <v>45986.061532962965</v>
      </c>
      <c r="B597" s="19">
        <v>99.0</v>
      </c>
      <c r="C597" s="19" t="s">
        <v>56</v>
      </c>
      <c r="D597" s="19" t="s">
        <v>7</v>
      </c>
      <c r="E597" s="19">
        <v>39600.0</v>
      </c>
      <c r="F597" s="20">
        <v>1.0</v>
      </c>
      <c r="G597" s="20">
        <v>49.6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18">
        <v>45986.061266875</v>
      </c>
      <c r="B598" s="19">
        <v>98.0</v>
      </c>
      <c r="C598" s="19" t="s">
        <v>53</v>
      </c>
      <c r="D598" s="19" t="s">
        <v>8</v>
      </c>
      <c r="E598" s="19">
        <v>-9100.0</v>
      </c>
      <c r="F598" s="20">
        <v>4.0</v>
      </c>
      <c r="G598" s="20">
        <v>-59.1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18">
        <v>45986.061266875</v>
      </c>
      <c r="B599" s="19">
        <v>98.0</v>
      </c>
      <c r="C599" s="19" t="s">
        <v>54</v>
      </c>
      <c r="D599" s="19" t="s">
        <v>9</v>
      </c>
      <c r="E599" s="19">
        <v>41200.0</v>
      </c>
      <c r="F599" s="20">
        <v>1.0</v>
      </c>
      <c r="G599" s="20">
        <v>51.2</v>
      </c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18">
        <v>45986.061266875</v>
      </c>
      <c r="B600" s="19">
        <v>98.0</v>
      </c>
      <c r="C600" s="19" t="s">
        <v>55</v>
      </c>
      <c r="D600" s="19" t="s">
        <v>6</v>
      </c>
      <c r="E600" s="19">
        <v>38200.0</v>
      </c>
      <c r="F600" s="20">
        <v>2.0</v>
      </c>
      <c r="G600" s="20">
        <v>18.2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18">
        <v>45986.061266875</v>
      </c>
      <c r="B601" s="19">
        <v>98.0</v>
      </c>
      <c r="C601" s="19" t="s">
        <v>56</v>
      </c>
      <c r="D601" s="19" t="s">
        <v>14</v>
      </c>
      <c r="E601" s="19">
        <v>29700.0</v>
      </c>
      <c r="F601" s="20">
        <v>3.0</v>
      </c>
      <c r="G601" s="20">
        <v>-10.3</v>
      </c>
      <c r="I601" s="6">
        <v>1.0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18">
        <v>45986.060545925924</v>
      </c>
      <c r="B602" s="19">
        <v>97.0</v>
      </c>
      <c r="C602" s="19" t="s">
        <v>53</v>
      </c>
      <c r="D602" s="19" t="s">
        <v>14</v>
      </c>
      <c r="E602" s="19">
        <v>16200.0</v>
      </c>
      <c r="F602" s="20">
        <v>3.0</v>
      </c>
      <c r="G602" s="20">
        <v>-23.8</v>
      </c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18">
        <v>45986.060545925924</v>
      </c>
      <c r="B603" s="19">
        <v>97.0</v>
      </c>
      <c r="C603" s="19" t="s">
        <v>54</v>
      </c>
      <c r="D603" s="19" t="s">
        <v>9</v>
      </c>
      <c r="E603" s="19">
        <v>10800.0</v>
      </c>
      <c r="F603" s="20">
        <v>4.0</v>
      </c>
      <c r="G603" s="20">
        <v>-39.2</v>
      </c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18">
        <v>45986.060545925924</v>
      </c>
      <c r="B604" s="19">
        <v>97.0</v>
      </c>
      <c r="C604" s="19" t="s">
        <v>55</v>
      </c>
      <c r="D604" s="19" t="s">
        <v>6</v>
      </c>
      <c r="E604" s="19">
        <v>39400.0</v>
      </c>
      <c r="F604" s="20">
        <v>1.0</v>
      </c>
      <c r="G604" s="20">
        <v>49.4</v>
      </c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18">
        <v>45986.060545925924</v>
      </c>
      <c r="B605" s="19">
        <v>97.0</v>
      </c>
      <c r="C605" s="19" t="s">
        <v>56</v>
      </c>
      <c r="D605" s="19" t="s">
        <v>8</v>
      </c>
      <c r="E605" s="19">
        <v>33600.0</v>
      </c>
      <c r="F605" s="20">
        <v>2.0</v>
      </c>
      <c r="G605" s="20">
        <v>13.6</v>
      </c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18">
        <v>45986.060220775464</v>
      </c>
      <c r="B606" s="19">
        <v>96.0</v>
      </c>
      <c r="C606" s="19" t="s">
        <v>53</v>
      </c>
      <c r="D606" s="19" t="s">
        <v>9</v>
      </c>
      <c r="E606" s="19">
        <v>-7700.0</v>
      </c>
      <c r="F606" s="20">
        <v>4.0</v>
      </c>
      <c r="G606" s="20">
        <v>-57.7</v>
      </c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18">
        <v>45986.060220775464</v>
      </c>
      <c r="B607" s="19">
        <v>96.0</v>
      </c>
      <c r="C607" s="19" t="s">
        <v>54</v>
      </c>
      <c r="D607" s="19" t="s">
        <v>8</v>
      </c>
      <c r="E607" s="19">
        <v>37900.0</v>
      </c>
      <c r="F607" s="20">
        <v>2.0</v>
      </c>
      <c r="G607" s="20">
        <v>17.9</v>
      </c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18">
        <v>45986.060220775464</v>
      </c>
      <c r="B608" s="19">
        <v>96.0</v>
      </c>
      <c r="C608" s="19" t="s">
        <v>55</v>
      </c>
      <c r="D608" s="19" t="s">
        <v>14</v>
      </c>
      <c r="E608" s="19">
        <v>45400.0</v>
      </c>
      <c r="F608" s="20">
        <v>1.0</v>
      </c>
      <c r="G608" s="20">
        <v>55.4</v>
      </c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18">
        <v>45986.060220775464</v>
      </c>
      <c r="B609" s="19">
        <v>96.0</v>
      </c>
      <c r="C609" s="19" t="s">
        <v>56</v>
      </c>
      <c r="D609" s="19" t="s">
        <v>6</v>
      </c>
      <c r="E609" s="19">
        <v>24400.0</v>
      </c>
      <c r="F609" s="20">
        <v>3.0</v>
      </c>
      <c r="G609" s="20">
        <v>-15.6</v>
      </c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18">
        <v>45986.05992298611</v>
      </c>
      <c r="B610" s="19">
        <v>95.0</v>
      </c>
      <c r="C610" s="19" t="s">
        <v>53</v>
      </c>
      <c r="D610" s="19" t="s">
        <v>8</v>
      </c>
      <c r="E610" s="19">
        <v>37000.0</v>
      </c>
      <c r="F610" s="20">
        <v>1.0</v>
      </c>
      <c r="G610" s="20">
        <v>47.0</v>
      </c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18">
        <v>45986.05992298611</v>
      </c>
      <c r="B611" s="19">
        <v>95.0</v>
      </c>
      <c r="C611" s="19" t="s">
        <v>54</v>
      </c>
      <c r="D611" s="19" t="s">
        <v>9</v>
      </c>
      <c r="E611" s="19">
        <v>27200.0</v>
      </c>
      <c r="F611" s="20">
        <v>3.0</v>
      </c>
      <c r="G611" s="20">
        <v>-12.8</v>
      </c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18">
        <v>45986.05992298611</v>
      </c>
      <c r="B612" s="19">
        <v>95.0</v>
      </c>
      <c r="C612" s="19" t="s">
        <v>55</v>
      </c>
      <c r="D612" s="19" t="s">
        <v>6</v>
      </c>
      <c r="E612" s="19">
        <v>27400.0</v>
      </c>
      <c r="F612" s="20">
        <v>2.0</v>
      </c>
      <c r="G612" s="20">
        <v>7.4</v>
      </c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18">
        <v>45986.05992298611</v>
      </c>
      <c r="B613" s="19">
        <v>95.0</v>
      </c>
      <c r="C613" s="19" t="s">
        <v>56</v>
      </c>
      <c r="D613" s="19" t="s">
        <v>14</v>
      </c>
      <c r="E613" s="19">
        <v>8400.0</v>
      </c>
      <c r="F613" s="20">
        <v>4.0</v>
      </c>
      <c r="G613" s="20">
        <v>-41.6</v>
      </c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18">
        <v>45986.05970042824</v>
      </c>
      <c r="B614" s="19">
        <v>94.0</v>
      </c>
      <c r="C614" s="19" t="s">
        <v>53</v>
      </c>
      <c r="D614" s="19" t="s">
        <v>6</v>
      </c>
      <c r="E614" s="19">
        <v>28600.0</v>
      </c>
      <c r="F614" s="20">
        <v>2.0</v>
      </c>
      <c r="G614" s="20">
        <v>8.6</v>
      </c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18">
        <v>45986.05970042824</v>
      </c>
      <c r="B615" s="19">
        <v>94.0</v>
      </c>
      <c r="C615" s="19" t="s">
        <v>54</v>
      </c>
      <c r="D615" s="19" t="s">
        <v>14</v>
      </c>
      <c r="E615" s="19">
        <v>26000.0</v>
      </c>
      <c r="F615" s="20">
        <v>3.0</v>
      </c>
      <c r="G615" s="20">
        <v>-14.0</v>
      </c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18">
        <v>45986.05970042824</v>
      </c>
      <c r="B616" s="19">
        <v>94.0</v>
      </c>
      <c r="C616" s="19" t="s">
        <v>55</v>
      </c>
      <c r="D616" s="19" t="s">
        <v>9</v>
      </c>
      <c r="E616" s="19">
        <v>63700.0</v>
      </c>
      <c r="F616" s="20">
        <v>1.0</v>
      </c>
      <c r="G616" s="20">
        <v>73.7</v>
      </c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18">
        <v>45986.05970042824</v>
      </c>
      <c r="B617" s="19">
        <v>94.0</v>
      </c>
      <c r="C617" s="19" t="s">
        <v>56</v>
      </c>
      <c r="D617" s="19" t="s">
        <v>8</v>
      </c>
      <c r="E617" s="19">
        <v>-18300.0</v>
      </c>
      <c r="F617" s="20">
        <v>4.0</v>
      </c>
      <c r="G617" s="20">
        <v>-68.3</v>
      </c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18">
        <v>45986.059417592594</v>
      </c>
      <c r="B618" s="19">
        <v>93.0</v>
      </c>
      <c r="C618" s="19" t="s">
        <v>53</v>
      </c>
      <c r="D618" s="19" t="s">
        <v>8</v>
      </c>
      <c r="E618" s="19">
        <v>16100.0</v>
      </c>
      <c r="F618" s="20">
        <v>4.0</v>
      </c>
      <c r="G618" s="20">
        <v>-33.9</v>
      </c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18">
        <v>45986.059417592594</v>
      </c>
      <c r="B619" s="19">
        <v>93.0</v>
      </c>
      <c r="C619" s="19" t="s">
        <v>54</v>
      </c>
      <c r="D619" s="19" t="s">
        <v>9</v>
      </c>
      <c r="E619" s="19">
        <v>34400.0</v>
      </c>
      <c r="F619" s="20">
        <v>1.0</v>
      </c>
      <c r="G619" s="20">
        <v>44.4</v>
      </c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18">
        <v>45986.059417592594</v>
      </c>
      <c r="B620" s="19">
        <v>93.0</v>
      </c>
      <c r="C620" s="19" t="s">
        <v>55</v>
      </c>
      <c r="D620" s="19" t="s">
        <v>14</v>
      </c>
      <c r="E620" s="19">
        <v>32600.0</v>
      </c>
      <c r="F620" s="20">
        <v>2.0</v>
      </c>
      <c r="G620" s="20">
        <v>12.6</v>
      </c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18">
        <v>45986.059417592594</v>
      </c>
      <c r="B621" s="19">
        <v>93.0</v>
      </c>
      <c r="C621" s="19" t="s">
        <v>56</v>
      </c>
      <c r="D621" s="19" t="s">
        <v>6</v>
      </c>
      <c r="E621" s="19">
        <v>16900.0</v>
      </c>
      <c r="F621" s="20">
        <v>3.0</v>
      </c>
      <c r="G621" s="20">
        <v>-23.1</v>
      </c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18">
        <v>45986.05911579861</v>
      </c>
      <c r="B622" s="19">
        <v>92.0</v>
      </c>
      <c r="C622" s="19" t="s">
        <v>53</v>
      </c>
      <c r="D622" s="19" t="s">
        <v>14</v>
      </c>
      <c r="E622" s="19">
        <v>59000.0</v>
      </c>
      <c r="F622" s="20">
        <v>1.0</v>
      </c>
      <c r="G622" s="20">
        <v>69.0</v>
      </c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18">
        <v>45986.05911579861</v>
      </c>
      <c r="B623" s="19">
        <v>92.0</v>
      </c>
      <c r="C623" s="19" t="s">
        <v>54</v>
      </c>
      <c r="D623" s="19" t="s">
        <v>6</v>
      </c>
      <c r="E623" s="19">
        <v>10300.0</v>
      </c>
      <c r="F623" s="20">
        <v>4.0</v>
      </c>
      <c r="G623" s="20">
        <v>-39.7</v>
      </c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18">
        <v>45986.05911579861</v>
      </c>
      <c r="B624" s="19">
        <v>92.0</v>
      </c>
      <c r="C624" s="19" t="s">
        <v>55</v>
      </c>
      <c r="D624" s="19" t="s">
        <v>8</v>
      </c>
      <c r="E624" s="19">
        <v>18100.0</v>
      </c>
      <c r="F624" s="20">
        <v>2.0</v>
      </c>
      <c r="G624" s="20">
        <v>-1.9000000000000004</v>
      </c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18">
        <v>45986.05911579861</v>
      </c>
      <c r="B625" s="19">
        <v>92.0</v>
      </c>
      <c r="C625" s="19" t="s">
        <v>56</v>
      </c>
      <c r="D625" s="19" t="s">
        <v>9</v>
      </c>
      <c r="E625" s="19">
        <v>12600.0</v>
      </c>
      <c r="F625" s="20">
        <v>3.0</v>
      </c>
      <c r="G625" s="20">
        <v>-27.4</v>
      </c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18">
        <v>45986.05887871528</v>
      </c>
      <c r="B626" s="19">
        <v>91.0</v>
      </c>
      <c r="C626" s="19" t="s">
        <v>53</v>
      </c>
      <c r="D626" s="19" t="s">
        <v>6</v>
      </c>
      <c r="E626" s="19">
        <v>14400.0</v>
      </c>
      <c r="F626" s="20">
        <v>3.0</v>
      </c>
      <c r="G626" s="20">
        <v>-25.6</v>
      </c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18">
        <v>45986.05887871528</v>
      </c>
      <c r="B627" s="19">
        <v>91.0</v>
      </c>
      <c r="C627" s="19" t="s">
        <v>54</v>
      </c>
      <c r="D627" s="19" t="s">
        <v>14</v>
      </c>
      <c r="E627" s="19">
        <v>-1300.0</v>
      </c>
      <c r="F627" s="20">
        <v>4.0</v>
      </c>
      <c r="G627" s="20">
        <v>-51.3</v>
      </c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18">
        <v>45986.05887871528</v>
      </c>
      <c r="B628" s="19">
        <v>91.0</v>
      </c>
      <c r="C628" s="19" t="s">
        <v>55</v>
      </c>
      <c r="D628" s="19" t="s">
        <v>9</v>
      </c>
      <c r="E628" s="19">
        <v>46900.0</v>
      </c>
      <c r="F628" s="20">
        <v>1.0</v>
      </c>
      <c r="G628" s="20">
        <v>56.9</v>
      </c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18">
        <v>45986.05887871528</v>
      </c>
      <c r="B629" s="19">
        <v>91.0</v>
      </c>
      <c r="C629" s="19" t="s">
        <v>56</v>
      </c>
      <c r="D629" s="19" t="s">
        <v>8</v>
      </c>
      <c r="E629" s="19">
        <v>40000.0</v>
      </c>
      <c r="F629" s="20">
        <v>2.0</v>
      </c>
      <c r="G629" s="20">
        <v>20.0</v>
      </c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18">
        <v>45986.05861295139</v>
      </c>
      <c r="B630" s="19">
        <v>90.0</v>
      </c>
      <c r="C630" s="19" t="s">
        <v>53</v>
      </c>
      <c r="D630" s="19" t="s">
        <v>6</v>
      </c>
      <c r="E630" s="19">
        <v>43100.0</v>
      </c>
      <c r="F630" s="20">
        <v>1.0</v>
      </c>
      <c r="G630" s="20">
        <v>53.1</v>
      </c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18">
        <v>45986.05861295139</v>
      </c>
      <c r="B631" s="19">
        <v>90.0</v>
      </c>
      <c r="C631" s="19" t="s">
        <v>54</v>
      </c>
      <c r="D631" s="19" t="s">
        <v>14</v>
      </c>
      <c r="E631" s="19">
        <v>19600.0</v>
      </c>
      <c r="F631" s="20">
        <v>3.0</v>
      </c>
      <c r="G631" s="20">
        <v>-20.4</v>
      </c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18">
        <v>45986.05861295139</v>
      </c>
      <c r="B632" s="19">
        <v>90.0</v>
      </c>
      <c r="C632" s="19" t="s">
        <v>55</v>
      </c>
      <c r="D632" s="19" t="s">
        <v>8</v>
      </c>
      <c r="E632" s="19">
        <v>16300.0</v>
      </c>
      <c r="F632" s="20">
        <v>4.0</v>
      </c>
      <c r="G632" s="20">
        <v>-33.7</v>
      </c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18">
        <v>45986.05861295139</v>
      </c>
      <c r="B633" s="19">
        <v>90.0</v>
      </c>
      <c r="C633" s="19" t="s">
        <v>56</v>
      </c>
      <c r="D633" s="19" t="s">
        <v>9</v>
      </c>
      <c r="E633" s="19">
        <v>21000.0</v>
      </c>
      <c r="F633" s="20">
        <v>2.0</v>
      </c>
      <c r="G633" s="20">
        <v>1.0</v>
      </c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18">
        <v>45986.05818547454</v>
      </c>
      <c r="B634" s="19">
        <v>89.0</v>
      </c>
      <c r="C634" s="19" t="s">
        <v>53</v>
      </c>
      <c r="D634" s="19" t="s">
        <v>10</v>
      </c>
      <c r="E634" s="19">
        <v>37200.0</v>
      </c>
      <c r="F634" s="20">
        <v>1.0</v>
      </c>
      <c r="G634" s="20">
        <v>47.2</v>
      </c>
      <c r="I634" s="9"/>
      <c r="J634" s="6">
        <v>1.0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18">
        <v>45986.05818547454</v>
      </c>
      <c r="B635" s="19">
        <v>89.0</v>
      </c>
      <c r="C635" s="19" t="s">
        <v>54</v>
      </c>
      <c r="D635" s="19" t="s">
        <v>6</v>
      </c>
      <c r="E635" s="19">
        <v>20600.0</v>
      </c>
      <c r="F635" s="20">
        <v>3.0</v>
      </c>
      <c r="G635" s="20">
        <v>-19.4</v>
      </c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18">
        <v>45986.05818547454</v>
      </c>
      <c r="B636" s="19">
        <v>89.0</v>
      </c>
      <c r="C636" s="19" t="s">
        <v>55</v>
      </c>
      <c r="D636" s="19" t="s">
        <v>9</v>
      </c>
      <c r="E636" s="19">
        <v>18000.0</v>
      </c>
      <c r="F636" s="20">
        <v>4.0</v>
      </c>
      <c r="G636" s="20">
        <v>-32.0</v>
      </c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18">
        <v>45986.05818547454</v>
      </c>
      <c r="B637" s="19">
        <v>89.0</v>
      </c>
      <c r="C637" s="19" t="s">
        <v>56</v>
      </c>
      <c r="D637" s="19" t="s">
        <v>18</v>
      </c>
      <c r="E637" s="19">
        <v>24200.0</v>
      </c>
      <c r="F637" s="20">
        <v>2.0</v>
      </c>
      <c r="G637" s="20">
        <v>4.2</v>
      </c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18">
        <v>45986.05740157407</v>
      </c>
      <c r="B638" s="19">
        <v>88.0</v>
      </c>
      <c r="C638" s="19" t="s">
        <v>53</v>
      </c>
      <c r="D638" s="19" t="s">
        <v>8</v>
      </c>
      <c r="E638" s="19">
        <v>14900.0</v>
      </c>
      <c r="F638" s="20">
        <v>3.0</v>
      </c>
      <c r="G638" s="20">
        <v>-25.1</v>
      </c>
      <c r="I638" s="6">
        <v>2.0</v>
      </c>
      <c r="J638" s="6">
        <v>4.0</v>
      </c>
      <c r="K638" s="6">
        <v>1.0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18">
        <v>45986.05740157407</v>
      </c>
      <c r="B639" s="19">
        <v>88.0</v>
      </c>
      <c r="C639" s="19" t="s">
        <v>54</v>
      </c>
      <c r="D639" s="19" t="s">
        <v>6</v>
      </c>
      <c r="E639" s="19">
        <v>3700.0</v>
      </c>
      <c r="F639" s="20">
        <v>4.0</v>
      </c>
      <c r="G639" s="20">
        <v>-46.3</v>
      </c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18">
        <v>45986.05740157407</v>
      </c>
      <c r="B640" s="19">
        <v>88.0</v>
      </c>
      <c r="C640" s="19" t="s">
        <v>55</v>
      </c>
      <c r="D640" s="19" t="s">
        <v>20</v>
      </c>
      <c r="E640" s="19">
        <v>35900.0</v>
      </c>
      <c r="F640" s="20">
        <v>2.0</v>
      </c>
      <c r="G640" s="20">
        <v>15.9</v>
      </c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18">
        <v>45986.05740157407</v>
      </c>
      <c r="B641" s="19">
        <v>88.0</v>
      </c>
      <c r="C641" s="19" t="s">
        <v>56</v>
      </c>
      <c r="D641" s="19" t="s">
        <v>19</v>
      </c>
      <c r="E641" s="19">
        <v>45500.0</v>
      </c>
      <c r="F641" s="20">
        <v>1.0</v>
      </c>
      <c r="G641" s="20">
        <v>55.5</v>
      </c>
      <c r="I641" s="6">
        <v>2.0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18">
        <v>45986.05718135417</v>
      </c>
      <c r="B642" s="19">
        <v>87.0</v>
      </c>
      <c r="C642" s="19" t="s">
        <v>53</v>
      </c>
      <c r="D642" s="19" t="s">
        <v>19</v>
      </c>
      <c r="E642" s="19">
        <v>7800.0</v>
      </c>
      <c r="F642" s="20">
        <v>4.0</v>
      </c>
      <c r="G642" s="20">
        <v>-42.2</v>
      </c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18">
        <v>45986.05718135417</v>
      </c>
      <c r="B643" s="19">
        <v>87.0</v>
      </c>
      <c r="C643" s="19" t="s">
        <v>54</v>
      </c>
      <c r="D643" s="19" t="s">
        <v>6</v>
      </c>
      <c r="E643" s="19">
        <v>49600.0</v>
      </c>
      <c r="F643" s="20">
        <v>1.0</v>
      </c>
      <c r="G643" s="20">
        <v>59.6</v>
      </c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18">
        <v>45986.05718135417</v>
      </c>
      <c r="B644" s="19">
        <v>87.0</v>
      </c>
      <c r="C644" s="19" t="s">
        <v>55</v>
      </c>
      <c r="D644" s="19" t="s">
        <v>8</v>
      </c>
      <c r="E644" s="19">
        <v>34500.0</v>
      </c>
      <c r="F644" s="20">
        <v>2.0</v>
      </c>
      <c r="G644" s="20">
        <v>14.5</v>
      </c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18">
        <v>45986.05718135417</v>
      </c>
      <c r="B645" s="19">
        <v>87.0</v>
      </c>
      <c r="C645" s="19" t="s">
        <v>56</v>
      </c>
      <c r="D645" s="19" t="s">
        <v>20</v>
      </c>
      <c r="E645" s="19">
        <v>8100.0</v>
      </c>
      <c r="F645" s="20">
        <v>3.0</v>
      </c>
      <c r="G645" s="20">
        <v>-31.9</v>
      </c>
      <c r="I645" s="6">
        <v>2.0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18">
        <v>45986.05699064815</v>
      </c>
      <c r="B646" s="19">
        <v>86.0</v>
      </c>
      <c r="C646" s="19" t="s">
        <v>53</v>
      </c>
      <c r="D646" s="19" t="s">
        <v>19</v>
      </c>
      <c r="E646" s="19">
        <v>50700.0</v>
      </c>
      <c r="F646" s="20">
        <v>1.0</v>
      </c>
      <c r="G646" s="20">
        <v>60.7</v>
      </c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18">
        <v>45986.05699064815</v>
      </c>
      <c r="B647" s="19">
        <v>86.0</v>
      </c>
      <c r="C647" s="19" t="s">
        <v>54</v>
      </c>
      <c r="D647" s="19" t="s">
        <v>8</v>
      </c>
      <c r="E647" s="19">
        <v>6000.0</v>
      </c>
      <c r="F647" s="20">
        <v>4.0</v>
      </c>
      <c r="G647" s="20">
        <v>-44.0</v>
      </c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18">
        <v>45986.05699064815</v>
      </c>
      <c r="B648" s="19">
        <v>86.0</v>
      </c>
      <c r="C648" s="19" t="s">
        <v>55</v>
      </c>
      <c r="D648" s="19" t="s">
        <v>6</v>
      </c>
      <c r="E648" s="19">
        <v>33900.0</v>
      </c>
      <c r="F648" s="20">
        <v>2.0</v>
      </c>
      <c r="G648" s="20">
        <v>13.9</v>
      </c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18">
        <v>45986.05699064815</v>
      </c>
      <c r="B649" s="19">
        <v>86.0</v>
      </c>
      <c r="C649" s="19" t="s">
        <v>56</v>
      </c>
      <c r="D649" s="19" t="s">
        <v>20</v>
      </c>
      <c r="E649" s="19">
        <v>9400.0</v>
      </c>
      <c r="F649" s="20">
        <v>3.0</v>
      </c>
      <c r="G649" s="20">
        <v>-30.6</v>
      </c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18">
        <v>45986.05674641204</v>
      </c>
      <c r="B650" s="19">
        <v>85.0</v>
      </c>
      <c r="C650" s="19" t="s">
        <v>53</v>
      </c>
      <c r="D650" s="19" t="s">
        <v>20</v>
      </c>
      <c r="E650" s="19">
        <v>4900.0</v>
      </c>
      <c r="F650" s="20">
        <v>4.0</v>
      </c>
      <c r="G650" s="20">
        <v>-45.1</v>
      </c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18">
        <v>45986.05674641204</v>
      </c>
      <c r="B651" s="19">
        <v>85.0</v>
      </c>
      <c r="C651" s="19" t="s">
        <v>54</v>
      </c>
      <c r="D651" s="19" t="s">
        <v>6</v>
      </c>
      <c r="E651" s="19">
        <v>65100.0</v>
      </c>
      <c r="F651" s="20">
        <v>1.0</v>
      </c>
      <c r="G651" s="20">
        <v>75.1</v>
      </c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18">
        <v>45986.05674641204</v>
      </c>
      <c r="B652" s="19">
        <v>85.0</v>
      </c>
      <c r="C652" s="19" t="s">
        <v>55</v>
      </c>
      <c r="D652" s="19" t="s">
        <v>8</v>
      </c>
      <c r="E652" s="19">
        <v>15600.0</v>
      </c>
      <c r="F652" s="20">
        <v>2.0</v>
      </c>
      <c r="G652" s="20">
        <v>-4.4</v>
      </c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18">
        <v>45986.05674641204</v>
      </c>
      <c r="B653" s="19">
        <v>85.0</v>
      </c>
      <c r="C653" s="19" t="s">
        <v>56</v>
      </c>
      <c r="D653" s="19" t="s">
        <v>19</v>
      </c>
      <c r="E653" s="19">
        <v>14400.0</v>
      </c>
      <c r="F653" s="20">
        <v>3.0</v>
      </c>
      <c r="G653" s="20">
        <v>-25.6</v>
      </c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18">
        <v>45986.05647831019</v>
      </c>
      <c r="B654" s="19">
        <v>84.0</v>
      </c>
      <c r="C654" s="19" t="s">
        <v>53</v>
      </c>
      <c r="D654" s="19" t="s">
        <v>8</v>
      </c>
      <c r="E654" s="19">
        <v>32300.0</v>
      </c>
      <c r="F654" s="20">
        <v>2.0</v>
      </c>
      <c r="G654" s="20">
        <v>12.3</v>
      </c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18">
        <v>45986.05647831019</v>
      </c>
      <c r="B655" s="19">
        <v>84.0</v>
      </c>
      <c r="C655" s="19" t="s">
        <v>54</v>
      </c>
      <c r="D655" s="19" t="s">
        <v>20</v>
      </c>
      <c r="E655" s="19">
        <v>14100.0</v>
      </c>
      <c r="F655" s="20">
        <v>3.0</v>
      </c>
      <c r="G655" s="20">
        <v>-25.9</v>
      </c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18">
        <v>45986.05647831019</v>
      </c>
      <c r="B656" s="19">
        <v>84.0</v>
      </c>
      <c r="C656" s="19" t="s">
        <v>55</v>
      </c>
      <c r="D656" s="19" t="s">
        <v>6</v>
      </c>
      <c r="E656" s="19">
        <v>56300.0</v>
      </c>
      <c r="F656" s="20">
        <v>1.0</v>
      </c>
      <c r="G656" s="20">
        <v>66.3</v>
      </c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18">
        <v>45986.05647831019</v>
      </c>
      <c r="B657" s="19">
        <v>84.0</v>
      </c>
      <c r="C657" s="19" t="s">
        <v>56</v>
      </c>
      <c r="D657" s="19" t="s">
        <v>19</v>
      </c>
      <c r="E657" s="19">
        <v>-2700.0</v>
      </c>
      <c r="F657" s="20">
        <v>4.0</v>
      </c>
      <c r="G657" s="20">
        <v>-52.7</v>
      </c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18">
        <v>45986.05618608797</v>
      </c>
      <c r="B658" s="19">
        <v>83.0</v>
      </c>
      <c r="C658" s="19" t="s">
        <v>53</v>
      </c>
      <c r="D658" s="19" t="s">
        <v>9</v>
      </c>
      <c r="E658" s="19">
        <v>24600.0</v>
      </c>
      <c r="F658" s="20">
        <v>3.0</v>
      </c>
      <c r="G658" s="20">
        <v>-15.4</v>
      </c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18">
        <v>45986.05618608797</v>
      </c>
      <c r="B659" s="19">
        <v>83.0</v>
      </c>
      <c r="C659" s="19" t="s">
        <v>54</v>
      </c>
      <c r="D659" s="19" t="s">
        <v>6</v>
      </c>
      <c r="E659" s="19">
        <v>43600.0</v>
      </c>
      <c r="F659" s="20">
        <v>1.0</v>
      </c>
      <c r="G659" s="20">
        <v>53.6</v>
      </c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18">
        <v>45986.05618608797</v>
      </c>
      <c r="B660" s="19">
        <v>83.0</v>
      </c>
      <c r="C660" s="19" t="s">
        <v>55</v>
      </c>
      <c r="D660" s="19" t="s">
        <v>5</v>
      </c>
      <c r="E660" s="19">
        <v>32900.0</v>
      </c>
      <c r="F660" s="20">
        <v>2.0</v>
      </c>
      <c r="G660" s="20">
        <v>12.9</v>
      </c>
      <c r="I660" s="6">
        <v>10.0</v>
      </c>
      <c r="J660" s="6">
        <v>9.0</v>
      </c>
      <c r="K660" s="6">
        <v>3.0</v>
      </c>
      <c r="L660" s="6">
        <v>1.0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18">
        <v>45986.05618608797</v>
      </c>
      <c r="B661" s="19">
        <v>83.0</v>
      </c>
      <c r="C661" s="19" t="s">
        <v>56</v>
      </c>
      <c r="D661" s="19" t="s">
        <v>8</v>
      </c>
      <c r="E661" s="19">
        <v>-1100.0</v>
      </c>
      <c r="F661" s="20">
        <v>4.0</v>
      </c>
      <c r="G661" s="20">
        <v>-51.1</v>
      </c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18">
        <v>45986.05593986111</v>
      </c>
      <c r="B662" s="19">
        <v>82.0</v>
      </c>
      <c r="C662" s="19" t="s">
        <v>53</v>
      </c>
      <c r="D662" s="19" t="s">
        <v>8</v>
      </c>
      <c r="E662" s="19">
        <v>2700.0</v>
      </c>
      <c r="F662" s="20">
        <v>4.0</v>
      </c>
      <c r="G662" s="20">
        <v>-47.3</v>
      </c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18">
        <v>45986.05593986111</v>
      </c>
      <c r="B663" s="19">
        <v>82.0</v>
      </c>
      <c r="C663" s="19" t="s">
        <v>54</v>
      </c>
      <c r="D663" s="19" t="s">
        <v>6</v>
      </c>
      <c r="E663" s="19">
        <v>13300.0</v>
      </c>
      <c r="F663" s="20">
        <v>3.0</v>
      </c>
      <c r="G663" s="20">
        <v>-26.7</v>
      </c>
      <c r="I663" s="6">
        <v>38.0</v>
      </c>
      <c r="J663" s="6">
        <v>23.0</v>
      </c>
      <c r="K663" s="6">
        <v>2.0</v>
      </c>
      <c r="L663" s="6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18">
        <v>45986.05593986111</v>
      </c>
      <c r="B664" s="19">
        <v>82.0</v>
      </c>
      <c r="C664" s="19" t="s">
        <v>55</v>
      </c>
      <c r="D664" s="19" t="s">
        <v>9</v>
      </c>
      <c r="E664" s="19">
        <v>53200.0</v>
      </c>
      <c r="F664" s="20">
        <v>1.0</v>
      </c>
      <c r="G664" s="20">
        <v>63.2</v>
      </c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18">
        <v>45986.05593986111</v>
      </c>
      <c r="B665" s="19">
        <v>82.0</v>
      </c>
      <c r="C665" s="19" t="s">
        <v>56</v>
      </c>
      <c r="D665" s="19" t="s">
        <v>5</v>
      </c>
      <c r="E665" s="19">
        <v>30800.0</v>
      </c>
      <c r="F665" s="20">
        <v>2.0</v>
      </c>
      <c r="G665" s="20">
        <v>10.8</v>
      </c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18">
        <v>45986.055677881945</v>
      </c>
      <c r="B666" s="19">
        <v>81.0</v>
      </c>
      <c r="C666" s="19" t="s">
        <v>53</v>
      </c>
      <c r="D666" s="19" t="s">
        <v>5</v>
      </c>
      <c r="E666" s="19">
        <v>14800.0</v>
      </c>
      <c r="F666" s="20">
        <v>3.0</v>
      </c>
      <c r="G666" s="20">
        <v>-25.2</v>
      </c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18">
        <v>45986.055677881945</v>
      </c>
      <c r="B667" s="19">
        <v>81.0</v>
      </c>
      <c r="C667" s="19" t="s">
        <v>54</v>
      </c>
      <c r="D667" s="19" t="s">
        <v>9</v>
      </c>
      <c r="E667" s="19">
        <v>44600.0</v>
      </c>
      <c r="F667" s="20">
        <v>1.0</v>
      </c>
      <c r="G667" s="20">
        <v>54.6</v>
      </c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18">
        <v>45986.055677881945</v>
      </c>
      <c r="B668" s="19">
        <v>81.0</v>
      </c>
      <c r="C668" s="19" t="s">
        <v>55</v>
      </c>
      <c r="D668" s="19" t="s">
        <v>8</v>
      </c>
      <c r="E668" s="19">
        <v>9700.0</v>
      </c>
      <c r="F668" s="20">
        <v>4.0</v>
      </c>
      <c r="G668" s="20">
        <v>-40.3</v>
      </c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18">
        <v>45986.055677881945</v>
      </c>
      <c r="B669" s="19">
        <v>81.0</v>
      </c>
      <c r="C669" s="19" t="s">
        <v>56</v>
      </c>
      <c r="D669" s="19" t="s">
        <v>6</v>
      </c>
      <c r="E669" s="19">
        <v>30900.0</v>
      </c>
      <c r="F669" s="20">
        <v>2.0</v>
      </c>
      <c r="G669" s="20">
        <v>10.9</v>
      </c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18">
        <v>45986.05541689815</v>
      </c>
      <c r="B670" s="19">
        <v>80.0</v>
      </c>
      <c r="C670" s="19" t="s">
        <v>53</v>
      </c>
      <c r="D670" s="19" t="s">
        <v>9</v>
      </c>
      <c r="E670" s="19">
        <v>40300.0</v>
      </c>
      <c r="F670" s="20">
        <v>2.0</v>
      </c>
      <c r="G670" s="20">
        <v>20.3</v>
      </c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18">
        <v>45986.05541689815</v>
      </c>
      <c r="B671" s="19">
        <v>80.0</v>
      </c>
      <c r="C671" s="19" t="s">
        <v>54</v>
      </c>
      <c r="D671" s="19" t="s">
        <v>8</v>
      </c>
      <c r="E671" s="19">
        <v>-300.0</v>
      </c>
      <c r="F671" s="20">
        <v>4.0</v>
      </c>
      <c r="G671" s="20">
        <v>-50.3</v>
      </c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18">
        <v>45986.05541689815</v>
      </c>
      <c r="B672" s="19">
        <v>80.0</v>
      </c>
      <c r="C672" s="19" t="s">
        <v>55</v>
      </c>
      <c r="D672" s="19" t="s">
        <v>5</v>
      </c>
      <c r="E672" s="19">
        <v>13000.0</v>
      </c>
      <c r="F672" s="20">
        <v>3.0</v>
      </c>
      <c r="G672" s="20">
        <v>-27.0</v>
      </c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18">
        <v>45986.05541689815</v>
      </c>
      <c r="B673" s="19">
        <v>80.0</v>
      </c>
      <c r="C673" s="19" t="s">
        <v>56</v>
      </c>
      <c r="D673" s="19" t="s">
        <v>6</v>
      </c>
      <c r="E673" s="19">
        <v>47000.0</v>
      </c>
      <c r="F673" s="20">
        <v>1.0</v>
      </c>
      <c r="G673" s="20">
        <v>57.0</v>
      </c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18">
        <v>45986.05517122685</v>
      </c>
      <c r="B674" s="19">
        <v>79.0</v>
      </c>
      <c r="C674" s="19" t="s">
        <v>53</v>
      </c>
      <c r="D674" s="19" t="s">
        <v>8</v>
      </c>
      <c r="E674" s="19">
        <v>42800.0</v>
      </c>
      <c r="F674" s="20">
        <v>1.0</v>
      </c>
      <c r="G674" s="20">
        <v>52.8</v>
      </c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18">
        <v>45986.05517122685</v>
      </c>
      <c r="B675" s="19">
        <v>79.0</v>
      </c>
      <c r="C675" s="19" t="s">
        <v>54</v>
      </c>
      <c r="D675" s="19" t="s">
        <v>5</v>
      </c>
      <c r="E675" s="19">
        <v>19600.0</v>
      </c>
      <c r="F675" s="20">
        <v>3.0</v>
      </c>
      <c r="G675" s="20">
        <v>-20.4</v>
      </c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18">
        <v>45986.05517122685</v>
      </c>
      <c r="B676" s="19">
        <v>79.0</v>
      </c>
      <c r="C676" s="19" t="s">
        <v>55</v>
      </c>
      <c r="D676" s="19" t="s">
        <v>9</v>
      </c>
      <c r="E676" s="19">
        <v>23900.0</v>
      </c>
      <c r="F676" s="20">
        <v>2.0</v>
      </c>
      <c r="G676" s="20">
        <v>3.9000000000000004</v>
      </c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18">
        <v>45986.05517122685</v>
      </c>
      <c r="B677" s="19">
        <v>79.0</v>
      </c>
      <c r="C677" s="19" t="s">
        <v>56</v>
      </c>
      <c r="D677" s="19" t="s">
        <v>6</v>
      </c>
      <c r="E677" s="19">
        <v>13700.0</v>
      </c>
      <c r="F677" s="20">
        <v>4.0</v>
      </c>
      <c r="G677" s="20">
        <v>-36.3</v>
      </c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18">
        <v>45986.054959409725</v>
      </c>
      <c r="B678" s="19">
        <v>78.0</v>
      </c>
      <c r="C678" s="19" t="s">
        <v>53</v>
      </c>
      <c r="D678" s="19" t="s">
        <v>9</v>
      </c>
      <c r="E678" s="19">
        <v>31700.0</v>
      </c>
      <c r="F678" s="20">
        <v>1.0</v>
      </c>
      <c r="G678" s="20">
        <v>41.7</v>
      </c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18">
        <v>45986.054959409725</v>
      </c>
      <c r="B679" s="19">
        <v>78.0</v>
      </c>
      <c r="C679" s="19" t="s">
        <v>54</v>
      </c>
      <c r="D679" s="19" t="s">
        <v>5</v>
      </c>
      <c r="E679" s="19">
        <v>14700.0</v>
      </c>
      <c r="F679" s="20">
        <v>4.0</v>
      </c>
      <c r="G679" s="20">
        <v>-35.3</v>
      </c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18">
        <v>45986.054959409725</v>
      </c>
      <c r="B680" s="19">
        <v>78.0</v>
      </c>
      <c r="C680" s="19" t="s">
        <v>55</v>
      </c>
      <c r="D680" s="19" t="s">
        <v>6</v>
      </c>
      <c r="E680" s="19">
        <v>28500.0</v>
      </c>
      <c r="F680" s="20">
        <v>2.0</v>
      </c>
      <c r="G680" s="20">
        <v>8.5</v>
      </c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18">
        <v>45986.054959409725</v>
      </c>
      <c r="B681" s="19">
        <v>78.0</v>
      </c>
      <c r="C681" s="19" t="s">
        <v>56</v>
      </c>
      <c r="D681" s="19" t="s">
        <v>8</v>
      </c>
      <c r="E681" s="19">
        <v>25100.0</v>
      </c>
      <c r="F681" s="20">
        <v>3.0</v>
      </c>
      <c r="G681" s="20">
        <v>-14.9</v>
      </c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18">
        <v>45986.054678263885</v>
      </c>
      <c r="B682" s="19">
        <v>77.0</v>
      </c>
      <c r="C682" s="19" t="s">
        <v>53</v>
      </c>
      <c r="D682" s="19" t="s">
        <v>8</v>
      </c>
      <c r="E682" s="19">
        <v>7300.0</v>
      </c>
      <c r="F682" s="20">
        <v>3.0</v>
      </c>
      <c r="G682" s="20">
        <v>-32.7</v>
      </c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18">
        <v>45986.054678263885</v>
      </c>
      <c r="B683" s="19">
        <v>77.0</v>
      </c>
      <c r="C683" s="19" t="s">
        <v>54</v>
      </c>
      <c r="D683" s="19" t="s">
        <v>9</v>
      </c>
      <c r="E683" s="19">
        <v>57600.0</v>
      </c>
      <c r="F683" s="20">
        <v>1.0</v>
      </c>
      <c r="G683" s="20">
        <v>67.6</v>
      </c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18">
        <v>45986.054678263885</v>
      </c>
      <c r="B684" s="19">
        <v>77.0</v>
      </c>
      <c r="C684" s="19" t="s">
        <v>55</v>
      </c>
      <c r="D684" s="19" t="s">
        <v>6</v>
      </c>
      <c r="E684" s="19">
        <v>31500.0</v>
      </c>
      <c r="F684" s="20">
        <v>2.0</v>
      </c>
      <c r="G684" s="20">
        <v>11.5</v>
      </c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18">
        <v>45986.054678263885</v>
      </c>
      <c r="B685" s="19">
        <v>77.0</v>
      </c>
      <c r="C685" s="19" t="s">
        <v>56</v>
      </c>
      <c r="D685" s="19" t="s">
        <v>5</v>
      </c>
      <c r="E685" s="19">
        <v>3600.0</v>
      </c>
      <c r="F685" s="20">
        <v>4.0</v>
      </c>
      <c r="G685" s="20">
        <v>-46.4</v>
      </c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18">
        <v>45986.05444721065</v>
      </c>
      <c r="B686" s="19">
        <v>76.0</v>
      </c>
      <c r="C686" s="19" t="s">
        <v>53</v>
      </c>
      <c r="D686" s="19" t="s">
        <v>8</v>
      </c>
      <c r="E686" s="19">
        <v>25800.0</v>
      </c>
      <c r="F686" s="20">
        <v>2.0</v>
      </c>
      <c r="G686" s="20">
        <v>5.8</v>
      </c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18">
        <v>45986.05444721065</v>
      </c>
      <c r="B687" s="19">
        <v>76.0</v>
      </c>
      <c r="C687" s="19" t="s">
        <v>54</v>
      </c>
      <c r="D687" s="19" t="s">
        <v>16</v>
      </c>
      <c r="E687" s="19">
        <v>18800.0</v>
      </c>
      <c r="F687" s="20">
        <v>3.0</v>
      </c>
      <c r="G687" s="20">
        <v>-21.2</v>
      </c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18">
        <v>45986.05444721065</v>
      </c>
      <c r="B688" s="19">
        <v>76.0</v>
      </c>
      <c r="C688" s="19" t="s">
        <v>55</v>
      </c>
      <c r="D688" s="19" t="s">
        <v>6</v>
      </c>
      <c r="E688" s="19">
        <v>41200.0</v>
      </c>
      <c r="F688" s="20">
        <v>1.0</v>
      </c>
      <c r="G688" s="20">
        <v>51.2</v>
      </c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18">
        <v>45986.05444721065</v>
      </c>
      <c r="B689" s="19">
        <v>76.0</v>
      </c>
      <c r="C689" s="19" t="s">
        <v>56</v>
      </c>
      <c r="D689" s="19" t="s">
        <v>17</v>
      </c>
      <c r="E689" s="19">
        <v>14200.0</v>
      </c>
      <c r="F689" s="20">
        <v>4.0</v>
      </c>
      <c r="G689" s="20">
        <v>-35.8</v>
      </c>
      <c r="I689" s="6">
        <v>1.0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18">
        <v>45986.05418244213</v>
      </c>
      <c r="B690" s="19">
        <v>75.0</v>
      </c>
      <c r="C690" s="19" t="s">
        <v>53</v>
      </c>
      <c r="D690" s="19" t="s">
        <v>16</v>
      </c>
      <c r="E690" s="19">
        <v>35800.0</v>
      </c>
      <c r="F690" s="20">
        <v>1.0</v>
      </c>
      <c r="G690" s="20">
        <v>45.8</v>
      </c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18">
        <v>45986.05418244213</v>
      </c>
      <c r="B691" s="19">
        <v>75.0</v>
      </c>
      <c r="C691" s="19" t="s">
        <v>54</v>
      </c>
      <c r="D691" s="19" t="s">
        <v>17</v>
      </c>
      <c r="E691" s="19">
        <v>15200.0</v>
      </c>
      <c r="F691" s="20">
        <v>4.0</v>
      </c>
      <c r="G691" s="20">
        <v>-34.8</v>
      </c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18">
        <v>45986.05418244213</v>
      </c>
      <c r="B692" s="19">
        <v>75.0</v>
      </c>
      <c r="C692" s="19" t="s">
        <v>55</v>
      </c>
      <c r="D692" s="19" t="s">
        <v>8</v>
      </c>
      <c r="E692" s="19">
        <v>17800.0</v>
      </c>
      <c r="F692" s="20">
        <v>3.0</v>
      </c>
      <c r="G692" s="20">
        <v>-22.2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18">
        <v>45986.05418244213</v>
      </c>
      <c r="B693" s="19">
        <v>75.0</v>
      </c>
      <c r="C693" s="19" t="s">
        <v>56</v>
      </c>
      <c r="D693" s="19" t="s">
        <v>6</v>
      </c>
      <c r="E693" s="19">
        <v>31200.0</v>
      </c>
      <c r="F693" s="20">
        <v>2.0</v>
      </c>
      <c r="G693" s="20">
        <v>11.2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18">
        <v>45986.05394987269</v>
      </c>
      <c r="B694" s="19">
        <v>74.0</v>
      </c>
      <c r="C694" s="19" t="s">
        <v>53</v>
      </c>
      <c r="D694" s="19" t="s">
        <v>16</v>
      </c>
      <c r="E694" s="19">
        <v>-5100.0</v>
      </c>
      <c r="F694" s="20">
        <v>4.0</v>
      </c>
      <c r="G694" s="20">
        <v>-55.1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18">
        <v>45986.05394987269</v>
      </c>
      <c r="B695" s="19">
        <v>74.0</v>
      </c>
      <c r="C695" s="19" t="s">
        <v>54</v>
      </c>
      <c r="D695" s="19" t="s">
        <v>17</v>
      </c>
      <c r="E695" s="19">
        <v>49300.0</v>
      </c>
      <c r="F695" s="20">
        <v>1.0</v>
      </c>
      <c r="G695" s="20">
        <v>59.3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18">
        <v>45986.05394987269</v>
      </c>
      <c r="B696" s="19">
        <v>74.0</v>
      </c>
      <c r="C696" s="19" t="s">
        <v>55</v>
      </c>
      <c r="D696" s="19" t="s">
        <v>8</v>
      </c>
      <c r="E696" s="19">
        <v>33700.0</v>
      </c>
      <c r="F696" s="20">
        <v>2.0</v>
      </c>
      <c r="G696" s="20">
        <v>13.7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18">
        <v>45986.05394987269</v>
      </c>
      <c r="B697" s="19">
        <v>74.0</v>
      </c>
      <c r="C697" s="19" t="s">
        <v>56</v>
      </c>
      <c r="D697" s="19" t="s">
        <v>6</v>
      </c>
      <c r="E697" s="19">
        <v>22100.0</v>
      </c>
      <c r="F697" s="20">
        <v>3.0</v>
      </c>
      <c r="G697" s="20">
        <v>-17.9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18">
        <v>45986.05368128473</v>
      </c>
      <c r="B698" s="19">
        <v>73.0</v>
      </c>
      <c r="C698" s="19" t="s">
        <v>53</v>
      </c>
      <c r="D698" s="19" t="s">
        <v>17</v>
      </c>
      <c r="E698" s="19">
        <v>13400.0</v>
      </c>
      <c r="F698" s="20">
        <v>4.0</v>
      </c>
      <c r="G698" s="20">
        <v>-36.6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18">
        <v>45986.05368128473</v>
      </c>
      <c r="B699" s="19">
        <v>73.0</v>
      </c>
      <c r="C699" s="19" t="s">
        <v>54</v>
      </c>
      <c r="D699" s="19" t="s">
        <v>6</v>
      </c>
      <c r="E699" s="19">
        <v>17800.0</v>
      </c>
      <c r="F699" s="20">
        <v>2.0</v>
      </c>
      <c r="G699" s="20">
        <v>-2.1999999999999993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18">
        <v>45986.05368128473</v>
      </c>
      <c r="B700" s="19">
        <v>73.0</v>
      </c>
      <c r="C700" s="19" t="s">
        <v>55</v>
      </c>
      <c r="D700" s="19" t="s">
        <v>8</v>
      </c>
      <c r="E700" s="19">
        <v>13900.0</v>
      </c>
      <c r="F700" s="20">
        <v>3.0</v>
      </c>
      <c r="G700" s="20">
        <v>-26.1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18">
        <v>45986.05368128473</v>
      </c>
      <c r="B701" s="19">
        <v>73.0</v>
      </c>
      <c r="C701" s="19" t="s">
        <v>56</v>
      </c>
      <c r="D701" s="19" t="s">
        <v>16</v>
      </c>
      <c r="E701" s="19">
        <v>54900.0</v>
      </c>
      <c r="F701" s="20">
        <v>1.0</v>
      </c>
      <c r="G701" s="20">
        <v>64.9</v>
      </c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18">
        <v>45986.05334373843</v>
      </c>
      <c r="B702" s="19">
        <v>72.0</v>
      </c>
      <c r="C702" s="19" t="s">
        <v>53</v>
      </c>
      <c r="D702" s="19" t="s">
        <v>16</v>
      </c>
      <c r="E702" s="19">
        <v>14100.0</v>
      </c>
      <c r="F702" s="20">
        <v>3.0</v>
      </c>
      <c r="G702" s="20">
        <v>-25.9</v>
      </c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18">
        <v>45986.05334373843</v>
      </c>
      <c r="B703" s="19">
        <v>72.0</v>
      </c>
      <c r="C703" s="19" t="s">
        <v>54</v>
      </c>
      <c r="D703" s="19" t="s">
        <v>17</v>
      </c>
      <c r="E703" s="19">
        <v>9700.0</v>
      </c>
      <c r="F703" s="20">
        <v>4.0</v>
      </c>
      <c r="G703" s="20">
        <v>-40.3</v>
      </c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18">
        <v>45986.05334373843</v>
      </c>
      <c r="B704" s="19">
        <v>72.0</v>
      </c>
      <c r="C704" s="19" t="s">
        <v>55</v>
      </c>
      <c r="D704" s="19" t="s">
        <v>8</v>
      </c>
      <c r="E704" s="19">
        <v>31700.0</v>
      </c>
      <c r="F704" s="20">
        <v>2.0</v>
      </c>
      <c r="G704" s="20">
        <v>11.7</v>
      </c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18">
        <v>45986.05334373843</v>
      </c>
      <c r="B705" s="19">
        <v>72.0</v>
      </c>
      <c r="C705" s="19" t="s">
        <v>56</v>
      </c>
      <c r="D705" s="19" t="s">
        <v>6</v>
      </c>
      <c r="E705" s="19">
        <v>44500.0</v>
      </c>
      <c r="F705" s="20">
        <v>1.0</v>
      </c>
      <c r="G705" s="20">
        <v>54.5</v>
      </c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18">
        <v>45986.05261974537</v>
      </c>
      <c r="B706" s="19">
        <v>71.0</v>
      </c>
      <c r="C706" s="19" t="s">
        <v>53</v>
      </c>
      <c r="D706" s="19" t="s">
        <v>35</v>
      </c>
      <c r="E706" s="19">
        <v>21500.0</v>
      </c>
      <c r="F706" s="20">
        <v>3.0</v>
      </c>
      <c r="G706" s="20">
        <v>-18.5</v>
      </c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18">
        <v>45986.05261974537</v>
      </c>
      <c r="B707" s="19">
        <v>71.0</v>
      </c>
      <c r="C707" s="19" t="s">
        <v>54</v>
      </c>
      <c r="D707" s="19" t="s">
        <v>9</v>
      </c>
      <c r="E707" s="19">
        <v>52500.0</v>
      </c>
      <c r="F707" s="20">
        <v>1.0</v>
      </c>
      <c r="G707" s="20">
        <v>62.5</v>
      </c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18">
        <v>45986.05261974537</v>
      </c>
      <c r="B708" s="19">
        <v>71.0</v>
      </c>
      <c r="C708" s="19" t="s">
        <v>55</v>
      </c>
      <c r="D708" s="19" t="s">
        <v>5</v>
      </c>
      <c r="E708" s="19">
        <v>-800.0</v>
      </c>
      <c r="F708" s="20">
        <v>4.0</v>
      </c>
      <c r="G708" s="20">
        <v>-50.8</v>
      </c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18">
        <v>45986.05261974537</v>
      </c>
      <c r="B709" s="19">
        <v>71.0</v>
      </c>
      <c r="C709" s="19" t="s">
        <v>56</v>
      </c>
      <c r="D709" s="19" t="s">
        <v>6</v>
      </c>
      <c r="E709" s="19">
        <v>26800.0</v>
      </c>
      <c r="F709" s="20">
        <v>2.0</v>
      </c>
      <c r="G709" s="20">
        <v>6.8</v>
      </c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18">
        <v>45986.0518752662</v>
      </c>
      <c r="B710" s="19">
        <v>70.0</v>
      </c>
      <c r="C710" s="19" t="s">
        <v>53</v>
      </c>
      <c r="D710" s="19" t="s">
        <v>35</v>
      </c>
      <c r="E710" s="19">
        <v>32700.0</v>
      </c>
      <c r="F710" s="20">
        <v>2.0</v>
      </c>
      <c r="G710" s="20">
        <v>12.7</v>
      </c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18">
        <v>45986.0518752662</v>
      </c>
      <c r="B711" s="19">
        <v>70.0</v>
      </c>
      <c r="C711" s="19" t="s">
        <v>54</v>
      </c>
      <c r="D711" s="19" t="s">
        <v>5</v>
      </c>
      <c r="E711" s="19">
        <v>45000.0</v>
      </c>
      <c r="F711" s="20">
        <v>1.0</v>
      </c>
      <c r="G711" s="20">
        <v>55.0</v>
      </c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18">
        <v>45986.0518752662</v>
      </c>
      <c r="B712" s="19">
        <v>70.0</v>
      </c>
      <c r="C712" s="19" t="s">
        <v>55</v>
      </c>
      <c r="D712" s="19" t="s">
        <v>9</v>
      </c>
      <c r="E712" s="19">
        <v>23000.0</v>
      </c>
      <c r="F712" s="20">
        <v>3.0</v>
      </c>
      <c r="G712" s="20">
        <v>-17.0</v>
      </c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18">
        <v>45986.0518752662</v>
      </c>
      <c r="B713" s="19">
        <v>70.0</v>
      </c>
      <c r="C713" s="19" t="s">
        <v>56</v>
      </c>
      <c r="D713" s="19" t="s">
        <v>6</v>
      </c>
      <c r="E713" s="19">
        <v>-700.0</v>
      </c>
      <c r="F713" s="20">
        <v>4.0</v>
      </c>
      <c r="G713" s="20">
        <v>-50.7</v>
      </c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18">
        <v>45986.05162373843</v>
      </c>
      <c r="B714" s="19">
        <v>69.0</v>
      </c>
      <c r="C714" s="19" t="s">
        <v>53</v>
      </c>
      <c r="D714" s="19" t="s">
        <v>5</v>
      </c>
      <c r="E714" s="19">
        <v>-3400.0</v>
      </c>
      <c r="F714" s="20">
        <v>4.0</v>
      </c>
      <c r="G714" s="20">
        <v>-53.4</v>
      </c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18">
        <v>45986.05162373843</v>
      </c>
      <c r="B715" s="19">
        <v>69.0</v>
      </c>
      <c r="C715" s="19" t="s">
        <v>54</v>
      </c>
      <c r="D715" s="19" t="s">
        <v>9</v>
      </c>
      <c r="E715" s="19">
        <v>49500.0</v>
      </c>
      <c r="F715" s="20">
        <v>1.0</v>
      </c>
      <c r="G715" s="20">
        <v>59.5</v>
      </c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18">
        <v>45986.05162373843</v>
      </c>
      <c r="B716" s="19">
        <v>69.0</v>
      </c>
      <c r="C716" s="19" t="s">
        <v>55</v>
      </c>
      <c r="D716" s="19" t="s">
        <v>35</v>
      </c>
      <c r="E716" s="19">
        <v>26500.0</v>
      </c>
      <c r="F716" s="20">
        <v>3.0</v>
      </c>
      <c r="G716" s="20">
        <v>-13.5</v>
      </c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18">
        <v>45986.05162373843</v>
      </c>
      <c r="B717" s="19">
        <v>69.0</v>
      </c>
      <c r="C717" s="19" t="s">
        <v>56</v>
      </c>
      <c r="D717" s="19" t="s">
        <v>6</v>
      </c>
      <c r="E717" s="19">
        <v>27400.0</v>
      </c>
      <c r="F717" s="20">
        <v>2.0</v>
      </c>
      <c r="G717" s="20">
        <v>7.4</v>
      </c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18">
        <v>45986.051389444445</v>
      </c>
      <c r="B718" s="19">
        <v>68.0</v>
      </c>
      <c r="C718" s="19" t="s">
        <v>53</v>
      </c>
      <c r="D718" s="19" t="s">
        <v>6</v>
      </c>
      <c r="E718" s="19">
        <v>52400.0</v>
      </c>
      <c r="F718" s="20">
        <v>1.0</v>
      </c>
      <c r="G718" s="20">
        <v>62.4</v>
      </c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18">
        <v>45986.051389444445</v>
      </c>
      <c r="B719" s="19">
        <v>68.0</v>
      </c>
      <c r="C719" s="19" t="s">
        <v>54</v>
      </c>
      <c r="D719" s="19" t="s">
        <v>5</v>
      </c>
      <c r="E719" s="19">
        <v>-6200.0</v>
      </c>
      <c r="F719" s="20">
        <v>4.0</v>
      </c>
      <c r="G719" s="20">
        <v>-56.2</v>
      </c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18">
        <v>45986.051389444445</v>
      </c>
      <c r="B720" s="19">
        <v>68.0</v>
      </c>
      <c r="C720" s="19" t="s">
        <v>55</v>
      </c>
      <c r="D720" s="19" t="s">
        <v>35</v>
      </c>
      <c r="E720" s="19">
        <v>24600.0</v>
      </c>
      <c r="F720" s="20">
        <v>3.0</v>
      </c>
      <c r="G720" s="20">
        <v>-15.4</v>
      </c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18">
        <v>45986.051389444445</v>
      </c>
      <c r="B721" s="19">
        <v>68.0</v>
      </c>
      <c r="C721" s="19" t="s">
        <v>56</v>
      </c>
      <c r="D721" s="19" t="s">
        <v>9</v>
      </c>
      <c r="E721" s="19">
        <v>29200.0</v>
      </c>
      <c r="F721" s="20">
        <v>2.0</v>
      </c>
      <c r="G721" s="20">
        <v>9.2</v>
      </c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18">
        <v>45986.05117222222</v>
      </c>
      <c r="B722" s="19">
        <v>67.0</v>
      </c>
      <c r="C722" s="19" t="s">
        <v>53</v>
      </c>
      <c r="D722" s="19" t="s">
        <v>6</v>
      </c>
      <c r="E722" s="19">
        <v>43400.0</v>
      </c>
      <c r="F722" s="20">
        <v>1.0</v>
      </c>
      <c r="G722" s="20">
        <v>53.4</v>
      </c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18">
        <v>45986.05117222222</v>
      </c>
      <c r="B723" s="19">
        <v>67.0</v>
      </c>
      <c r="C723" s="19" t="s">
        <v>54</v>
      </c>
      <c r="D723" s="19" t="s">
        <v>35</v>
      </c>
      <c r="E723" s="19">
        <v>19900.0</v>
      </c>
      <c r="F723" s="20">
        <v>3.0</v>
      </c>
      <c r="G723" s="20">
        <v>-20.1</v>
      </c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18">
        <v>45986.05117222222</v>
      </c>
      <c r="B724" s="19">
        <v>67.0</v>
      </c>
      <c r="C724" s="19" t="s">
        <v>55</v>
      </c>
      <c r="D724" s="19" t="s">
        <v>5</v>
      </c>
      <c r="E724" s="19">
        <v>22600.0</v>
      </c>
      <c r="F724" s="20">
        <v>2.0</v>
      </c>
      <c r="G724" s="20">
        <v>2.5999999999999996</v>
      </c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18">
        <v>45986.05117222222</v>
      </c>
      <c r="B725" s="19">
        <v>67.0</v>
      </c>
      <c r="C725" s="19" t="s">
        <v>56</v>
      </c>
      <c r="D725" s="19" t="s">
        <v>9</v>
      </c>
      <c r="E725" s="19">
        <v>14100.0</v>
      </c>
      <c r="F725" s="20">
        <v>4.0</v>
      </c>
      <c r="G725" s="20">
        <v>-35.9</v>
      </c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18">
        <v>45986.05091914352</v>
      </c>
      <c r="B726" s="19">
        <v>66.0</v>
      </c>
      <c r="C726" s="19" t="s">
        <v>53</v>
      </c>
      <c r="D726" s="19" t="s">
        <v>6</v>
      </c>
      <c r="E726" s="19">
        <v>20600.0</v>
      </c>
      <c r="F726" s="20">
        <v>3.0</v>
      </c>
      <c r="G726" s="20">
        <v>-19.4</v>
      </c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18">
        <v>45986.05091914352</v>
      </c>
      <c r="B727" s="19">
        <v>66.0</v>
      </c>
      <c r="C727" s="19" t="s">
        <v>54</v>
      </c>
      <c r="D727" s="19" t="s">
        <v>5</v>
      </c>
      <c r="E727" s="19">
        <v>20200.0</v>
      </c>
      <c r="F727" s="20">
        <v>4.0</v>
      </c>
      <c r="G727" s="20">
        <v>-29.8</v>
      </c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18">
        <v>45986.05091914352</v>
      </c>
      <c r="B728" s="19">
        <v>66.0</v>
      </c>
      <c r="C728" s="19" t="s">
        <v>55</v>
      </c>
      <c r="D728" s="19" t="s">
        <v>35</v>
      </c>
      <c r="E728" s="19">
        <v>28000.0</v>
      </c>
      <c r="F728" s="20">
        <v>2.0</v>
      </c>
      <c r="G728" s="20">
        <v>8.0</v>
      </c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18">
        <v>45986.05091914352</v>
      </c>
      <c r="B729" s="19">
        <v>66.0</v>
      </c>
      <c r="C729" s="19" t="s">
        <v>56</v>
      </c>
      <c r="D729" s="19" t="s">
        <v>9</v>
      </c>
      <c r="E729" s="19">
        <v>31200.0</v>
      </c>
      <c r="F729" s="20">
        <v>1.0</v>
      </c>
      <c r="G729" s="20">
        <v>41.2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18">
        <v>45986.050680671295</v>
      </c>
      <c r="B730" s="19">
        <v>65.0</v>
      </c>
      <c r="C730" s="19" t="s">
        <v>53</v>
      </c>
      <c r="D730" s="19" t="s">
        <v>9</v>
      </c>
      <c r="E730" s="19">
        <v>21700.0</v>
      </c>
      <c r="F730" s="20">
        <v>3.0</v>
      </c>
      <c r="G730" s="20">
        <v>-18.3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18">
        <v>45986.050680671295</v>
      </c>
      <c r="B731" s="19">
        <v>65.0</v>
      </c>
      <c r="C731" s="19" t="s">
        <v>54</v>
      </c>
      <c r="D731" s="19" t="s">
        <v>5</v>
      </c>
      <c r="E731" s="19">
        <v>19100.0</v>
      </c>
      <c r="F731" s="20">
        <v>4.0</v>
      </c>
      <c r="G731" s="20">
        <v>-30.9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18">
        <v>45986.050680671295</v>
      </c>
      <c r="B732" s="19">
        <v>65.0</v>
      </c>
      <c r="C732" s="19" t="s">
        <v>55</v>
      </c>
      <c r="D732" s="19" t="s">
        <v>35</v>
      </c>
      <c r="E732" s="19">
        <v>26500.0</v>
      </c>
      <c r="F732" s="20">
        <v>2.0</v>
      </c>
      <c r="G732" s="20">
        <v>6.5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18">
        <v>45986.050680671295</v>
      </c>
      <c r="B733" s="19">
        <v>65.0</v>
      </c>
      <c r="C733" s="19" t="s">
        <v>56</v>
      </c>
      <c r="D733" s="19" t="s">
        <v>6</v>
      </c>
      <c r="E733" s="19">
        <v>32700.0</v>
      </c>
      <c r="F733" s="20">
        <v>1.0</v>
      </c>
      <c r="G733" s="20">
        <v>42.7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18">
        <v>45986.05041761574</v>
      </c>
      <c r="B734" s="19">
        <v>64.0</v>
      </c>
      <c r="C734" s="19" t="s">
        <v>53</v>
      </c>
      <c r="D734" s="19" t="s">
        <v>5</v>
      </c>
      <c r="E734" s="19">
        <v>19000.0</v>
      </c>
      <c r="F734" s="20">
        <v>3.0</v>
      </c>
      <c r="G734" s="20">
        <v>-21.0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18">
        <v>45986.05041761574</v>
      </c>
      <c r="B735" s="19">
        <v>64.0</v>
      </c>
      <c r="C735" s="19" t="s">
        <v>54</v>
      </c>
      <c r="D735" s="19" t="s">
        <v>11</v>
      </c>
      <c r="E735" s="19">
        <v>26900.0</v>
      </c>
      <c r="F735" s="20">
        <v>2.0</v>
      </c>
      <c r="G735" s="20">
        <v>6.9</v>
      </c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18">
        <v>45986.05041761574</v>
      </c>
      <c r="B736" s="19">
        <v>64.0</v>
      </c>
      <c r="C736" s="19" t="s">
        <v>55</v>
      </c>
      <c r="D736" s="19" t="s">
        <v>6</v>
      </c>
      <c r="E736" s="19">
        <v>16900.0</v>
      </c>
      <c r="F736" s="20">
        <v>4.0</v>
      </c>
      <c r="G736" s="20">
        <v>-33.1</v>
      </c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18">
        <v>45986.05041761574</v>
      </c>
      <c r="B737" s="19">
        <v>64.0</v>
      </c>
      <c r="C737" s="19" t="s">
        <v>56</v>
      </c>
      <c r="D737" s="19" t="s">
        <v>7</v>
      </c>
      <c r="E737" s="19">
        <v>37200.0</v>
      </c>
      <c r="F737" s="20">
        <v>1.0</v>
      </c>
      <c r="G737" s="20">
        <v>47.2</v>
      </c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18">
        <v>45986.05020784722</v>
      </c>
      <c r="B738" s="19">
        <v>63.0</v>
      </c>
      <c r="C738" s="19" t="s">
        <v>53</v>
      </c>
      <c r="D738" s="19" t="s">
        <v>5</v>
      </c>
      <c r="E738" s="19">
        <v>13200.0</v>
      </c>
      <c r="F738" s="20">
        <v>4.0</v>
      </c>
      <c r="G738" s="20">
        <v>-36.8</v>
      </c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18">
        <v>45986.05020784722</v>
      </c>
      <c r="B739" s="19">
        <v>63.0</v>
      </c>
      <c r="C739" s="19" t="s">
        <v>54</v>
      </c>
      <c r="D739" s="19" t="s">
        <v>6</v>
      </c>
      <c r="E739" s="19">
        <v>26800.0</v>
      </c>
      <c r="F739" s="20">
        <v>2.0</v>
      </c>
      <c r="G739" s="20">
        <v>6.8</v>
      </c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18">
        <v>45986.05020784722</v>
      </c>
      <c r="B740" s="19">
        <v>63.0</v>
      </c>
      <c r="C740" s="19" t="s">
        <v>55</v>
      </c>
      <c r="D740" s="19" t="s">
        <v>7</v>
      </c>
      <c r="E740" s="19">
        <v>24000.0</v>
      </c>
      <c r="F740" s="20">
        <v>3.0</v>
      </c>
      <c r="G740" s="20">
        <v>-16.0</v>
      </c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18">
        <v>45986.05020784722</v>
      </c>
      <c r="B741" s="19">
        <v>63.0</v>
      </c>
      <c r="C741" s="19" t="s">
        <v>56</v>
      </c>
      <c r="D741" s="19" t="s">
        <v>11</v>
      </c>
      <c r="E741" s="19">
        <v>36000.0</v>
      </c>
      <c r="F741" s="20">
        <v>1.0</v>
      </c>
      <c r="G741" s="20">
        <v>46.0</v>
      </c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18">
        <v>45986.0499862963</v>
      </c>
      <c r="B742" s="19">
        <v>62.0</v>
      </c>
      <c r="C742" s="19" t="s">
        <v>53</v>
      </c>
      <c r="D742" s="19" t="s">
        <v>6</v>
      </c>
      <c r="E742" s="19">
        <v>3800.0</v>
      </c>
      <c r="F742" s="20">
        <v>4.0</v>
      </c>
      <c r="G742" s="20">
        <v>-46.2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18">
        <v>45986.0499862963</v>
      </c>
      <c r="B743" s="19">
        <v>62.0</v>
      </c>
      <c r="C743" s="19" t="s">
        <v>54</v>
      </c>
      <c r="D743" s="19" t="s">
        <v>7</v>
      </c>
      <c r="E743" s="19">
        <v>22800.0</v>
      </c>
      <c r="F743" s="20">
        <v>3.0</v>
      </c>
      <c r="G743" s="20">
        <v>-17.2</v>
      </c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18">
        <v>45986.0499862963</v>
      </c>
      <c r="B744" s="19">
        <v>62.0</v>
      </c>
      <c r="C744" s="19" t="s">
        <v>55</v>
      </c>
      <c r="D744" s="19" t="s">
        <v>11</v>
      </c>
      <c r="E744" s="19">
        <v>27500.0</v>
      </c>
      <c r="F744" s="20">
        <v>2.0</v>
      </c>
      <c r="G744" s="20">
        <v>7.5</v>
      </c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18">
        <v>45986.0499862963</v>
      </c>
      <c r="B745" s="19">
        <v>62.0</v>
      </c>
      <c r="C745" s="19" t="s">
        <v>56</v>
      </c>
      <c r="D745" s="19" t="s">
        <v>5</v>
      </c>
      <c r="E745" s="19">
        <v>45900.0</v>
      </c>
      <c r="F745" s="20">
        <v>1.0</v>
      </c>
      <c r="G745" s="20">
        <v>55.9</v>
      </c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18">
        <v>45986.04972947917</v>
      </c>
      <c r="B746" s="19">
        <v>61.0</v>
      </c>
      <c r="C746" s="19" t="s">
        <v>53</v>
      </c>
      <c r="D746" s="19" t="s">
        <v>7</v>
      </c>
      <c r="E746" s="19">
        <v>19300.0</v>
      </c>
      <c r="F746" s="20">
        <v>4.0</v>
      </c>
      <c r="G746" s="20">
        <v>-30.7</v>
      </c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18">
        <v>45986.04972947917</v>
      </c>
      <c r="B747" s="19">
        <v>61.0</v>
      </c>
      <c r="C747" s="19" t="s">
        <v>54</v>
      </c>
      <c r="D747" s="19" t="s">
        <v>11</v>
      </c>
      <c r="E747" s="19">
        <v>31100.0</v>
      </c>
      <c r="F747" s="20">
        <v>1.0</v>
      </c>
      <c r="G747" s="20">
        <v>41.1</v>
      </c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18">
        <v>45986.04972947917</v>
      </c>
      <c r="B748" s="19">
        <v>61.0</v>
      </c>
      <c r="C748" s="19" t="s">
        <v>55</v>
      </c>
      <c r="D748" s="19" t="s">
        <v>5</v>
      </c>
      <c r="E748" s="19">
        <v>25200.0</v>
      </c>
      <c r="F748" s="20">
        <v>2.0</v>
      </c>
      <c r="G748" s="20">
        <v>5.2</v>
      </c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18">
        <v>45986.04972947917</v>
      </c>
      <c r="B749" s="19">
        <v>61.0</v>
      </c>
      <c r="C749" s="19" t="s">
        <v>56</v>
      </c>
      <c r="D749" s="19" t="s">
        <v>6</v>
      </c>
      <c r="E749" s="19">
        <v>24400.0</v>
      </c>
      <c r="F749" s="20">
        <v>3.0</v>
      </c>
      <c r="G749" s="20">
        <v>-15.6</v>
      </c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18">
        <v>45986.049471307866</v>
      </c>
      <c r="B750" s="19">
        <v>60.0</v>
      </c>
      <c r="C750" s="19" t="s">
        <v>53</v>
      </c>
      <c r="D750" s="19" t="s">
        <v>10</v>
      </c>
      <c r="E750" s="19">
        <v>12100.0</v>
      </c>
      <c r="F750" s="20">
        <v>4.0</v>
      </c>
      <c r="G750" s="20">
        <v>-37.9</v>
      </c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18">
        <v>45986.049471307866</v>
      </c>
      <c r="B751" s="19">
        <v>60.0</v>
      </c>
      <c r="C751" s="19" t="s">
        <v>54</v>
      </c>
      <c r="D751" s="19" t="s">
        <v>5</v>
      </c>
      <c r="E751" s="19">
        <v>34300.0</v>
      </c>
      <c r="F751" s="20">
        <v>1.0</v>
      </c>
      <c r="G751" s="20">
        <v>44.3</v>
      </c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18">
        <v>45986.049471307866</v>
      </c>
      <c r="B752" s="19">
        <v>60.0</v>
      </c>
      <c r="C752" s="19" t="s">
        <v>55</v>
      </c>
      <c r="D752" s="19" t="s">
        <v>6</v>
      </c>
      <c r="E752" s="19">
        <v>33900.0</v>
      </c>
      <c r="F752" s="20">
        <v>2.0</v>
      </c>
      <c r="G752" s="20">
        <v>13.9</v>
      </c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18">
        <v>45986.049471307866</v>
      </c>
      <c r="B753" s="19">
        <v>60.0</v>
      </c>
      <c r="C753" s="19" t="s">
        <v>56</v>
      </c>
      <c r="D753" s="19" t="s">
        <v>7</v>
      </c>
      <c r="E753" s="19">
        <v>19700.0</v>
      </c>
      <c r="F753" s="20">
        <v>3.0</v>
      </c>
      <c r="G753" s="20">
        <v>-20.3</v>
      </c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18">
        <v>45986.049205312505</v>
      </c>
      <c r="B754" s="19">
        <v>59.0</v>
      </c>
      <c r="C754" s="19" t="s">
        <v>53</v>
      </c>
      <c r="D754" s="19" t="s">
        <v>7</v>
      </c>
      <c r="E754" s="19">
        <v>29000.0</v>
      </c>
      <c r="F754" s="20">
        <v>2.0</v>
      </c>
      <c r="G754" s="20">
        <v>9.0</v>
      </c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18">
        <v>45986.049205312505</v>
      </c>
      <c r="B755" s="19">
        <v>59.0</v>
      </c>
      <c r="C755" s="19" t="s">
        <v>54</v>
      </c>
      <c r="D755" s="19" t="s">
        <v>5</v>
      </c>
      <c r="E755" s="19">
        <v>14900.0</v>
      </c>
      <c r="F755" s="20">
        <v>4.0</v>
      </c>
      <c r="G755" s="20">
        <v>-35.1</v>
      </c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18">
        <v>45986.049205312505</v>
      </c>
      <c r="B756" s="19">
        <v>59.0</v>
      </c>
      <c r="C756" s="19" t="s">
        <v>55</v>
      </c>
      <c r="D756" s="19" t="s">
        <v>10</v>
      </c>
      <c r="E756" s="19">
        <v>17800.0</v>
      </c>
      <c r="F756" s="20">
        <v>3.0</v>
      </c>
      <c r="G756" s="20">
        <v>-22.2</v>
      </c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18">
        <v>45986.049205312505</v>
      </c>
      <c r="B757" s="19">
        <v>59.0</v>
      </c>
      <c r="C757" s="19" t="s">
        <v>56</v>
      </c>
      <c r="D757" s="19" t="s">
        <v>6</v>
      </c>
      <c r="E757" s="19">
        <v>38300.0</v>
      </c>
      <c r="F757" s="20">
        <v>1.0</v>
      </c>
      <c r="G757" s="20">
        <v>48.3</v>
      </c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18">
        <v>45986.048895370375</v>
      </c>
      <c r="B758" s="19">
        <v>58.0</v>
      </c>
      <c r="C758" s="19" t="s">
        <v>53</v>
      </c>
      <c r="D758" s="19" t="s">
        <v>6</v>
      </c>
      <c r="E758" s="19">
        <v>29200.0</v>
      </c>
      <c r="F758" s="20">
        <v>2.0</v>
      </c>
      <c r="G758" s="20">
        <v>9.2</v>
      </c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18">
        <v>45986.048895370375</v>
      </c>
      <c r="B759" s="19">
        <v>58.0</v>
      </c>
      <c r="C759" s="19" t="s">
        <v>54</v>
      </c>
      <c r="D759" s="19" t="s">
        <v>5</v>
      </c>
      <c r="E759" s="19">
        <v>8500.0</v>
      </c>
      <c r="F759" s="20">
        <v>3.0</v>
      </c>
      <c r="G759" s="20">
        <v>-31.5</v>
      </c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18">
        <v>45986.048895370375</v>
      </c>
      <c r="B760" s="19">
        <v>58.0</v>
      </c>
      <c r="C760" s="19" t="s">
        <v>55</v>
      </c>
      <c r="D760" s="19" t="s">
        <v>7</v>
      </c>
      <c r="E760" s="19">
        <v>5900.0</v>
      </c>
      <c r="F760" s="20">
        <v>4.0</v>
      </c>
      <c r="G760" s="20">
        <v>-44.1</v>
      </c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18">
        <v>45986.048895370375</v>
      </c>
      <c r="B761" s="19">
        <v>58.0</v>
      </c>
      <c r="C761" s="19" t="s">
        <v>56</v>
      </c>
      <c r="D761" s="19" t="s">
        <v>10</v>
      </c>
      <c r="E761" s="19">
        <v>56400.0</v>
      </c>
      <c r="F761" s="20">
        <v>1.0</v>
      </c>
      <c r="G761" s="20">
        <v>66.4</v>
      </c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18">
        <v>45986.04864444444</v>
      </c>
      <c r="B762" s="19">
        <v>57.0</v>
      </c>
      <c r="C762" s="19" t="s">
        <v>53</v>
      </c>
      <c r="D762" s="19" t="s">
        <v>7</v>
      </c>
      <c r="E762" s="19">
        <v>68000.0</v>
      </c>
      <c r="F762" s="20">
        <v>1.0</v>
      </c>
      <c r="G762" s="20">
        <v>78.0</v>
      </c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18">
        <v>45986.04864444444</v>
      </c>
      <c r="B763" s="19">
        <v>57.0</v>
      </c>
      <c r="C763" s="19" t="s">
        <v>54</v>
      </c>
      <c r="D763" s="19" t="s">
        <v>6</v>
      </c>
      <c r="E763" s="19">
        <v>-14200.0</v>
      </c>
      <c r="F763" s="20">
        <v>4.0</v>
      </c>
      <c r="G763" s="20">
        <v>-64.2</v>
      </c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18">
        <v>45986.04864444444</v>
      </c>
      <c r="B764" s="19">
        <v>57.0</v>
      </c>
      <c r="C764" s="19" t="s">
        <v>55</v>
      </c>
      <c r="D764" s="19" t="s">
        <v>9</v>
      </c>
      <c r="E764" s="19">
        <v>23000.0</v>
      </c>
      <c r="F764" s="20">
        <v>3.0</v>
      </c>
      <c r="G764" s="20">
        <v>-17.0</v>
      </c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18">
        <v>45986.04864444444</v>
      </c>
      <c r="B765" s="19">
        <v>57.0</v>
      </c>
      <c r="C765" s="19" t="s">
        <v>56</v>
      </c>
      <c r="D765" s="19" t="s">
        <v>31</v>
      </c>
      <c r="E765" s="19">
        <v>23200.0</v>
      </c>
      <c r="F765" s="20">
        <v>2.0</v>
      </c>
      <c r="G765" s="20">
        <v>3.2</v>
      </c>
      <c r="I765" s="6">
        <v>1.0</v>
      </c>
      <c r="J765" s="6">
        <v>2.0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18">
        <v>45986.048400011576</v>
      </c>
      <c r="B766" s="19">
        <v>56.0</v>
      </c>
      <c r="C766" s="19" t="s">
        <v>53</v>
      </c>
      <c r="D766" s="19" t="s">
        <v>7</v>
      </c>
      <c r="E766" s="19">
        <v>24000.0</v>
      </c>
      <c r="F766" s="20">
        <v>2.0</v>
      </c>
      <c r="G766" s="20">
        <v>4.0</v>
      </c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18">
        <v>45986.048400011576</v>
      </c>
      <c r="B767" s="19">
        <v>56.0</v>
      </c>
      <c r="C767" s="19" t="s">
        <v>54</v>
      </c>
      <c r="D767" s="19" t="s">
        <v>6</v>
      </c>
      <c r="E767" s="19">
        <v>39500.0</v>
      </c>
      <c r="F767" s="20">
        <v>1.0</v>
      </c>
      <c r="G767" s="20">
        <v>49.5</v>
      </c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18">
        <v>45986.048400011576</v>
      </c>
      <c r="B768" s="19">
        <v>56.0</v>
      </c>
      <c r="C768" s="19" t="s">
        <v>55</v>
      </c>
      <c r="D768" s="19" t="s">
        <v>9</v>
      </c>
      <c r="E768" s="19">
        <v>21800.0</v>
      </c>
      <c r="F768" s="20">
        <v>3.0</v>
      </c>
      <c r="G768" s="20">
        <v>-18.2</v>
      </c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18">
        <v>45986.048400011576</v>
      </c>
      <c r="B769" s="19">
        <v>56.0</v>
      </c>
      <c r="C769" s="19" t="s">
        <v>56</v>
      </c>
      <c r="D769" s="19" t="s">
        <v>31</v>
      </c>
      <c r="E769" s="19">
        <v>14700.0</v>
      </c>
      <c r="F769" s="20">
        <v>4.0</v>
      </c>
      <c r="G769" s="20">
        <v>-35.3</v>
      </c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18">
        <v>45986.048092094905</v>
      </c>
      <c r="B770" s="19">
        <v>55.0</v>
      </c>
      <c r="C770" s="19" t="s">
        <v>53</v>
      </c>
      <c r="D770" s="19" t="s">
        <v>31</v>
      </c>
      <c r="E770" s="19">
        <v>11300.0</v>
      </c>
      <c r="F770" s="20">
        <v>4.0</v>
      </c>
      <c r="G770" s="20">
        <v>-38.7</v>
      </c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18">
        <v>45986.048092094905</v>
      </c>
      <c r="B771" s="19">
        <v>55.0</v>
      </c>
      <c r="C771" s="19" t="s">
        <v>54</v>
      </c>
      <c r="D771" s="19" t="s">
        <v>7</v>
      </c>
      <c r="E771" s="19">
        <v>17700.0</v>
      </c>
      <c r="F771" s="20">
        <v>3.0</v>
      </c>
      <c r="G771" s="20">
        <v>-22.3</v>
      </c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18">
        <v>45986.048092094905</v>
      </c>
      <c r="B772" s="19">
        <v>55.0</v>
      </c>
      <c r="C772" s="19" t="s">
        <v>55</v>
      </c>
      <c r="D772" s="19" t="s">
        <v>6</v>
      </c>
      <c r="E772" s="19">
        <v>43400.0</v>
      </c>
      <c r="F772" s="20">
        <v>1.0</v>
      </c>
      <c r="G772" s="20">
        <v>53.4</v>
      </c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18">
        <v>45986.048092094905</v>
      </c>
      <c r="B773" s="19">
        <v>55.0</v>
      </c>
      <c r="C773" s="19" t="s">
        <v>56</v>
      </c>
      <c r="D773" s="19" t="s">
        <v>9</v>
      </c>
      <c r="E773" s="19">
        <v>27600.0</v>
      </c>
      <c r="F773" s="20">
        <v>2.0</v>
      </c>
      <c r="G773" s="20">
        <v>7.6</v>
      </c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18">
        <v>45986.04784989583</v>
      </c>
      <c r="B774" s="19">
        <v>54.0</v>
      </c>
      <c r="C774" s="19" t="s">
        <v>53</v>
      </c>
      <c r="D774" s="19" t="s">
        <v>31</v>
      </c>
      <c r="E774" s="19">
        <v>29600.0</v>
      </c>
      <c r="F774" s="20">
        <v>3.0</v>
      </c>
      <c r="G774" s="20">
        <v>-10.4</v>
      </c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18">
        <v>45986.04784989583</v>
      </c>
      <c r="B775" s="19">
        <v>54.0</v>
      </c>
      <c r="C775" s="19" t="s">
        <v>54</v>
      </c>
      <c r="D775" s="19" t="s">
        <v>7</v>
      </c>
      <c r="E775" s="19">
        <v>-8500.0</v>
      </c>
      <c r="F775" s="20">
        <v>4.0</v>
      </c>
      <c r="G775" s="20">
        <v>-58.5</v>
      </c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18">
        <v>45986.04784989583</v>
      </c>
      <c r="B776" s="19">
        <v>54.0</v>
      </c>
      <c r="C776" s="19" t="s">
        <v>55</v>
      </c>
      <c r="D776" s="19" t="s">
        <v>6</v>
      </c>
      <c r="E776" s="19">
        <v>49100.0</v>
      </c>
      <c r="F776" s="20">
        <v>1.0</v>
      </c>
      <c r="G776" s="20">
        <v>59.1</v>
      </c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18">
        <v>45986.04784989583</v>
      </c>
      <c r="B777" s="19">
        <v>54.0</v>
      </c>
      <c r="C777" s="19" t="s">
        <v>56</v>
      </c>
      <c r="D777" s="19" t="s">
        <v>9</v>
      </c>
      <c r="E777" s="19">
        <v>29800.0</v>
      </c>
      <c r="F777" s="20">
        <v>2.0</v>
      </c>
      <c r="G777" s="20">
        <v>9.8</v>
      </c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18">
        <v>45986.04758565972</v>
      </c>
      <c r="B778" s="19">
        <v>53.0</v>
      </c>
      <c r="C778" s="19" t="s">
        <v>53</v>
      </c>
      <c r="D778" s="19" t="s">
        <v>6</v>
      </c>
      <c r="E778" s="19">
        <v>42700.0</v>
      </c>
      <c r="F778" s="20">
        <v>1.0</v>
      </c>
      <c r="G778" s="20">
        <v>52.7</v>
      </c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18">
        <v>45986.04758565972</v>
      </c>
      <c r="B779" s="19">
        <v>53.0</v>
      </c>
      <c r="C779" s="19" t="s">
        <v>54</v>
      </c>
      <c r="D779" s="19" t="s">
        <v>31</v>
      </c>
      <c r="E779" s="19">
        <v>40000.0</v>
      </c>
      <c r="F779" s="20">
        <v>2.0</v>
      </c>
      <c r="G779" s="20">
        <v>20.0</v>
      </c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18">
        <v>45986.04758565972</v>
      </c>
      <c r="B780" s="19">
        <v>53.0</v>
      </c>
      <c r="C780" s="19" t="s">
        <v>55</v>
      </c>
      <c r="D780" s="19" t="s">
        <v>9</v>
      </c>
      <c r="E780" s="19">
        <v>21300.0</v>
      </c>
      <c r="F780" s="20">
        <v>3.0</v>
      </c>
      <c r="G780" s="20">
        <v>-18.7</v>
      </c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18">
        <v>45986.04758565972</v>
      </c>
      <c r="B781" s="19">
        <v>53.0</v>
      </c>
      <c r="C781" s="19" t="s">
        <v>56</v>
      </c>
      <c r="D781" s="19" t="s">
        <v>7</v>
      </c>
      <c r="E781" s="19">
        <v>-4000.0</v>
      </c>
      <c r="F781" s="20">
        <v>4.0</v>
      </c>
      <c r="G781" s="20">
        <v>-54.0</v>
      </c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18">
        <v>45986.04727255787</v>
      </c>
      <c r="B782" s="19">
        <v>52.0</v>
      </c>
      <c r="C782" s="19" t="s">
        <v>53</v>
      </c>
      <c r="D782" s="19" t="s">
        <v>6</v>
      </c>
      <c r="E782" s="19">
        <v>22200.0</v>
      </c>
      <c r="F782" s="20">
        <v>3.0</v>
      </c>
      <c r="G782" s="20">
        <v>-17.8</v>
      </c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18">
        <v>45986.04727255787</v>
      </c>
      <c r="B783" s="19">
        <v>52.0</v>
      </c>
      <c r="C783" s="19" t="s">
        <v>54</v>
      </c>
      <c r="D783" s="19" t="s">
        <v>31</v>
      </c>
      <c r="E783" s="19">
        <v>19900.0</v>
      </c>
      <c r="F783" s="20">
        <v>4.0</v>
      </c>
      <c r="G783" s="20">
        <v>-30.1</v>
      </c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18">
        <v>45986.04727255787</v>
      </c>
      <c r="B784" s="19">
        <v>52.0</v>
      </c>
      <c r="C784" s="19" t="s">
        <v>55</v>
      </c>
      <c r="D784" s="19" t="s">
        <v>7</v>
      </c>
      <c r="E784" s="19">
        <v>32200.0</v>
      </c>
      <c r="F784" s="20">
        <v>1.0</v>
      </c>
      <c r="G784" s="20">
        <v>42.2</v>
      </c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18">
        <v>45986.04727255787</v>
      </c>
      <c r="B785" s="19">
        <v>52.0</v>
      </c>
      <c r="C785" s="19" t="s">
        <v>56</v>
      </c>
      <c r="D785" s="19" t="s">
        <v>9</v>
      </c>
      <c r="E785" s="19">
        <v>25700.0</v>
      </c>
      <c r="F785" s="20">
        <v>2.0</v>
      </c>
      <c r="G785" s="20">
        <v>5.7</v>
      </c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18">
        <v>45986.04693224537</v>
      </c>
      <c r="B786" s="19">
        <v>51.0</v>
      </c>
      <c r="C786" s="19" t="s">
        <v>53</v>
      </c>
      <c r="D786" s="19" t="s">
        <v>31</v>
      </c>
      <c r="E786" s="19">
        <v>16300.0</v>
      </c>
      <c r="F786" s="20">
        <v>4.0</v>
      </c>
      <c r="G786" s="20">
        <v>-33.7</v>
      </c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18">
        <v>45986.04693224537</v>
      </c>
      <c r="B787" s="19">
        <v>51.0</v>
      </c>
      <c r="C787" s="19" t="s">
        <v>54</v>
      </c>
      <c r="D787" s="19" t="s">
        <v>6</v>
      </c>
      <c r="E787" s="19">
        <v>33600.0</v>
      </c>
      <c r="F787" s="20">
        <v>1.0</v>
      </c>
      <c r="G787" s="20">
        <v>43.6</v>
      </c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18">
        <v>45986.04693224537</v>
      </c>
      <c r="B788" s="19">
        <v>51.0</v>
      </c>
      <c r="C788" s="19" t="s">
        <v>55</v>
      </c>
      <c r="D788" s="19" t="s">
        <v>7</v>
      </c>
      <c r="E788" s="19">
        <v>29700.0</v>
      </c>
      <c r="F788" s="20">
        <v>2.0</v>
      </c>
      <c r="G788" s="20">
        <v>9.7</v>
      </c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18">
        <v>45986.04693224537</v>
      </c>
      <c r="B789" s="19">
        <v>51.0</v>
      </c>
      <c r="C789" s="19" t="s">
        <v>56</v>
      </c>
      <c r="D789" s="19" t="s">
        <v>9</v>
      </c>
      <c r="E789" s="19">
        <v>20400.0</v>
      </c>
      <c r="F789" s="20">
        <v>3.0</v>
      </c>
      <c r="G789" s="20">
        <v>-19.6</v>
      </c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18">
        <v>45986.046667083334</v>
      </c>
      <c r="B790" s="19">
        <v>50.0</v>
      </c>
      <c r="C790" s="19" t="s">
        <v>53</v>
      </c>
      <c r="D790" s="19" t="s">
        <v>34</v>
      </c>
      <c r="E790" s="19">
        <v>-2800.0</v>
      </c>
      <c r="F790" s="20">
        <v>4.0</v>
      </c>
      <c r="G790" s="20">
        <v>-52.8</v>
      </c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18">
        <v>45986.046667083334</v>
      </c>
      <c r="B791" s="19">
        <v>50.0</v>
      </c>
      <c r="C791" s="19" t="s">
        <v>54</v>
      </c>
      <c r="D791" s="19" t="s">
        <v>5</v>
      </c>
      <c r="E791" s="19">
        <v>31700.0</v>
      </c>
      <c r="F791" s="20">
        <v>2.0</v>
      </c>
      <c r="G791" s="20">
        <v>11.7</v>
      </c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18">
        <v>45986.046667083334</v>
      </c>
      <c r="B792" s="19">
        <v>50.0</v>
      </c>
      <c r="C792" s="19" t="s">
        <v>55</v>
      </c>
      <c r="D792" s="19" t="s">
        <v>6</v>
      </c>
      <c r="E792" s="19">
        <v>27300.0</v>
      </c>
      <c r="F792" s="20">
        <v>3.0</v>
      </c>
      <c r="G792" s="20">
        <v>-12.7</v>
      </c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18">
        <v>45986.046667083334</v>
      </c>
      <c r="B793" s="19">
        <v>50.0</v>
      </c>
      <c r="C793" s="19" t="s">
        <v>56</v>
      </c>
      <c r="D793" s="19" t="s">
        <v>7</v>
      </c>
      <c r="E793" s="19">
        <v>43800.0</v>
      </c>
      <c r="F793" s="20">
        <v>1.0</v>
      </c>
      <c r="G793" s="20">
        <v>53.8</v>
      </c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18">
        <v>45986.04641048611</v>
      </c>
      <c r="B794" s="19">
        <v>49.0</v>
      </c>
      <c r="C794" s="19" t="s">
        <v>53</v>
      </c>
      <c r="D794" s="19" t="s">
        <v>34</v>
      </c>
      <c r="E794" s="19">
        <v>20400.0</v>
      </c>
      <c r="F794" s="20">
        <v>3.0</v>
      </c>
      <c r="G794" s="20">
        <v>-19.6</v>
      </c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18">
        <v>45986.04641048611</v>
      </c>
      <c r="B795" s="19">
        <v>49.0</v>
      </c>
      <c r="C795" s="19" t="s">
        <v>54</v>
      </c>
      <c r="D795" s="19" t="s">
        <v>5</v>
      </c>
      <c r="E795" s="19">
        <v>48100.0</v>
      </c>
      <c r="F795" s="20">
        <v>1.0</v>
      </c>
      <c r="G795" s="20">
        <v>58.1</v>
      </c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18">
        <v>45986.04641048611</v>
      </c>
      <c r="B796" s="19">
        <v>49.0</v>
      </c>
      <c r="C796" s="19" t="s">
        <v>55</v>
      </c>
      <c r="D796" s="19" t="s">
        <v>6</v>
      </c>
      <c r="E796" s="19">
        <v>41200.0</v>
      </c>
      <c r="F796" s="20">
        <v>2.0</v>
      </c>
      <c r="G796" s="20">
        <v>21.2</v>
      </c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18">
        <v>45986.04641048611</v>
      </c>
      <c r="B797" s="19">
        <v>49.0</v>
      </c>
      <c r="C797" s="19" t="s">
        <v>56</v>
      </c>
      <c r="D797" s="19" t="s">
        <v>7</v>
      </c>
      <c r="E797" s="19">
        <v>-9700.0</v>
      </c>
      <c r="F797" s="20">
        <v>4.0</v>
      </c>
      <c r="G797" s="20">
        <v>-59.7</v>
      </c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18">
        <v>45986.04612594907</v>
      </c>
      <c r="B798" s="19">
        <v>48.0</v>
      </c>
      <c r="C798" s="19" t="s">
        <v>53</v>
      </c>
      <c r="D798" s="19" t="s">
        <v>6</v>
      </c>
      <c r="E798" s="19">
        <v>86200.0</v>
      </c>
      <c r="F798" s="20">
        <v>1.0</v>
      </c>
      <c r="G798" s="20">
        <v>96.2</v>
      </c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18">
        <v>45986.04612594907</v>
      </c>
      <c r="B799" s="19">
        <v>48.0</v>
      </c>
      <c r="C799" s="19" t="s">
        <v>54</v>
      </c>
      <c r="D799" s="19" t="s">
        <v>7</v>
      </c>
      <c r="E799" s="19">
        <v>4400.0</v>
      </c>
      <c r="F799" s="20">
        <v>3.0</v>
      </c>
      <c r="G799" s="20">
        <v>-35.6</v>
      </c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18">
        <v>45986.04612594907</v>
      </c>
      <c r="B800" s="19">
        <v>48.0</v>
      </c>
      <c r="C800" s="19" t="s">
        <v>55</v>
      </c>
      <c r="D800" s="19" t="s">
        <v>34</v>
      </c>
      <c r="E800" s="19">
        <v>-2400.0</v>
      </c>
      <c r="F800" s="20">
        <v>4.0</v>
      </c>
      <c r="G800" s="20">
        <v>-52.4</v>
      </c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18">
        <v>45986.04612594907</v>
      </c>
      <c r="B801" s="19">
        <v>48.0</v>
      </c>
      <c r="C801" s="19" t="s">
        <v>56</v>
      </c>
      <c r="D801" s="19" t="s">
        <v>5</v>
      </c>
      <c r="E801" s="19">
        <v>11800.0</v>
      </c>
      <c r="F801" s="20">
        <v>2.0</v>
      </c>
      <c r="G801" s="20">
        <v>-8.2</v>
      </c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18">
        <v>45986.04586596065</v>
      </c>
      <c r="B802" s="19">
        <v>47.0</v>
      </c>
      <c r="C802" s="19" t="s">
        <v>53</v>
      </c>
      <c r="D802" s="19" t="s">
        <v>7</v>
      </c>
      <c r="E802" s="19">
        <v>69000.0</v>
      </c>
      <c r="F802" s="20">
        <v>1.0</v>
      </c>
      <c r="G802" s="20">
        <v>79.0</v>
      </c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18">
        <v>45986.04586596065</v>
      </c>
      <c r="B803" s="19">
        <v>47.0</v>
      </c>
      <c r="C803" s="19" t="s">
        <v>54</v>
      </c>
      <c r="D803" s="19" t="s">
        <v>6</v>
      </c>
      <c r="E803" s="19">
        <v>8700.0</v>
      </c>
      <c r="F803" s="20">
        <v>3.0</v>
      </c>
      <c r="G803" s="20">
        <v>-31.3</v>
      </c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18">
        <v>45986.04586596065</v>
      </c>
      <c r="B804" s="19">
        <v>47.0</v>
      </c>
      <c r="C804" s="19" t="s">
        <v>55</v>
      </c>
      <c r="D804" s="19" t="s">
        <v>5</v>
      </c>
      <c r="E804" s="19">
        <v>21000.0</v>
      </c>
      <c r="F804" s="20">
        <v>2.0</v>
      </c>
      <c r="G804" s="20">
        <v>1.0</v>
      </c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18">
        <v>45986.04586596065</v>
      </c>
      <c r="B805" s="19">
        <v>47.0</v>
      </c>
      <c r="C805" s="19" t="s">
        <v>56</v>
      </c>
      <c r="D805" s="19" t="s">
        <v>34</v>
      </c>
      <c r="E805" s="19">
        <v>1300.0</v>
      </c>
      <c r="F805" s="20">
        <v>4.0</v>
      </c>
      <c r="G805" s="20">
        <v>-48.7</v>
      </c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18">
        <v>45986.045597662036</v>
      </c>
      <c r="B806" s="19">
        <v>46.0</v>
      </c>
      <c r="C806" s="19" t="s">
        <v>53</v>
      </c>
      <c r="D806" s="19" t="s">
        <v>6</v>
      </c>
      <c r="E806" s="19">
        <v>41000.0</v>
      </c>
      <c r="F806" s="20">
        <v>1.0</v>
      </c>
      <c r="G806" s="20">
        <v>51.0</v>
      </c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18">
        <v>45986.045597662036</v>
      </c>
      <c r="B807" s="19">
        <v>46.0</v>
      </c>
      <c r="C807" s="19" t="s">
        <v>54</v>
      </c>
      <c r="D807" s="19" t="s">
        <v>7</v>
      </c>
      <c r="E807" s="19">
        <v>37100.0</v>
      </c>
      <c r="F807" s="20">
        <v>2.0</v>
      </c>
      <c r="G807" s="20">
        <v>17.1</v>
      </c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18">
        <v>45986.045597662036</v>
      </c>
      <c r="B808" s="19">
        <v>46.0</v>
      </c>
      <c r="C808" s="19" t="s">
        <v>55</v>
      </c>
      <c r="D808" s="19" t="s">
        <v>5</v>
      </c>
      <c r="E808" s="19">
        <v>28900.0</v>
      </c>
      <c r="F808" s="20">
        <v>3.0</v>
      </c>
      <c r="G808" s="20">
        <v>-11.1</v>
      </c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18">
        <v>45986.045597662036</v>
      </c>
      <c r="B809" s="19">
        <v>46.0</v>
      </c>
      <c r="C809" s="19" t="s">
        <v>56</v>
      </c>
      <c r="D809" s="19" t="s">
        <v>34</v>
      </c>
      <c r="E809" s="19">
        <v>-7000.0</v>
      </c>
      <c r="F809" s="20">
        <v>4.0</v>
      </c>
      <c r="G809" s="20">
        <v>-57.0</v>
      </c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18">
        <v>45986.045313229166</v>
      </c>
      <c r="B810" s="19">
        <v>45.0</v>
      </c>
      <c r="C810" s="19" t="s">
        <v>53</v>
      </c>
      <c r="D810" s="19" t="s">
        <v>5</v>
      </c>
      <c r="E810" s="19">
        <v>31200.0</v>
      </c>
      <c r="F810" s="20">
        <v>2.0</v>
      </c>
      <c r="G810" s="20">
        <v>11.2</v>
      </c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18">
        <v>45986.045313229166</v>
      </c>
      <c r="B811" s="19">
        <v>45.0</v>
      </c>
      <c r="C811" s="19" t="s">
        <v>54</v>
      </c>
      <c r="D811" s="19" t="s">
        <v>6</v>
      </c>
      <c r="E811" s="19">
        <v>17000.0</v>
      </c>
      <c r="F811" s="20">
        <v>4.0</v>
      </c>
      <c r="G811" s="20">
        <v>-33.0</v>
      </c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18">
        <v>45986.045313229166</v>
      </c>
      <c r="B812" s="19">
        <v>45.0</v>
      </c>
      <c r="C812" s="19" t="s">
        <v>55</v>
      </c>
      <c r="D812" s="19" t="s">
        <v>7</v>
      </c>
      <c r="E812" s="19">
        <v>19900.0</v>
      </c>
      <c r="F812" s="20">
        <v>3.0</v>
      </c>
      <c r="G812" s="20">
        <v>-20.1</v>
      </c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18">
        <v>45986.045313229166</v>
      </c>
      <c r="B813" s="19">
        <v>45.0</v>
      </c>
      <c r="C813" s="19" t="s">
        <v>56</v>
      </c>
      <c r="D813" s="19" t="s">
        <v>12</v>
      </c>
      <c r="E813" s="19">
        <v>31900.0</v>
      </c>
      <c r="F813" s="20">
        <v>1.0</v>
      </c>
      <c r="G813" s="20">
        <v>41.9</v>
      </c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18">
        <v>45986.04508456019</v>
      </c>
      <c r="B814" s="19">
        <v>44.0</v>
      </c>
      <c r="C814" s="19" t="s">
        <v>53</v>
      </c>
      <c r="D814" s="19" t="s">
        <v>6</v>
      </c>
      <c r="E814" s="19">
        <v>29200.0</v>
      </c>
      <c r="F814" s="20">
        <v>2.0</v>
      </c>
      <c r="G814" s="20">
        <v>9.2</v>
      </c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18">
        <v>45986.04508456019</v>
      </c>
      <c r="B815" s="19">
        <v>44.0</v>
      </c>
      <c r="C815" s="19" t="s">
        <v>54</v>
      </c>
      <c r="D815" s="19" t="s">
        <v>5</v>
      </c>
      <c r="E815" s="19">
        <v>32500.0</v>
      </c>
      <c r="F815" s="20">
        <v>1.0</v>
      </c>
      <c r="G815" s="20">
        <v>42.5</v>
      </c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18">
        <v>45986.04508456019</v>
      </c>
      <c r="B816" s="19">
        <v>44.0</v>
      </c>
      <c r="C816" s="19" t="s">
        <v>55</v>
      </c>
      <c r="D816" s="19" t="s">
        <v>12</v>
      </c>
      <c r="E816" s="19">
        <v>23600.0</v>
      </c>
      <c r="F816" s="20">
        <v>3.0</v>
      </c>
      <c r="G816" s="20">
        <v>-16.4</v>
      </c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18">
        <v>45986.04508456019</v>
      </c>
      <c r="B817" s="19">
        <v>44.0</v>
      </c>
      <c r="C817" s="19" t="s">
        <v>56</v>
      </c>
      <c r="D817" s="19" t="s">
        <v>7</v>
      </c>
      <c r="E817" s="19">
        <v>14700.0</v>
      </c>
      <c r="F817" s="20">
        <v>4.0</v>
      </c>
      <c r="G817" s="20">
        <v>-35.3</v>
      </c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18">
        <v>45986.044814548615</v>
      </c>
      <c r="B818" s="19">
        <v>43.0</v>
      </c>
      <c r="C818" s="19" t="s">
        <v>53</v>
      </c>
      <c r="D818" s="19" t="s">
        <v>7</v>
      </c>
      <c r="E818" s="19">
        <v>29500.0</v>
      </c>
      <c r="F818" s="20">
        <v>2.0</v>
      </c>
      <c r="G818" s="20">
        <v>9.5</v>
      </c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18">
        <v>45986.044814548615</v>
      </c>
      <c r="B819" s="19">
        <v>43.0</v>
      </c>
      <c r="C819" s="19" t="s">
        <v>54</v>
      </c>
      <c r="D819" s="19" t="s">
        <v>6</v>
      </c>
      <c r="E819" s="19">
        <v>40500.0</v>
      </c>
      <c r="F819" s="20">
        <v>1.0</v>
      </c>
      <c r="G819" s="20">
        <v>50.5</v>
      </c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18">
        <v>45986.044814548615</v>
      </c>
      <c r="B820" s="19">
        <v>43.0</v>
      </c>
      <c r="C820" s="19" t="s">
        <v>55</v>
      </c>
      <c r="D820" s="19" t="s">
        <v>5</v>
      </c>
      <c r="E820" s="19">
        <v>20700.0</v>
      </c>
      <c r="F820" s="20">
        <v>3.0</v>
      </c>
      <c r="G820" s="20">
        <v>-19.3</v>
      </c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18">
        <v>45986.044814548615</v>
      </c>
      <c r="B821" s="19">
        <v>43.0</v>
      </c>
      <c r="C821" s="19" t="s">
        <v>56</v>
      </c>
      <c r="D821" s="19" t="s">
        <v>12</v>
      </c>
      <c r="E821" s="19">
        <v>9300.0</v>
      </c>
      <c r="F821" s="20">
        <v>4.0</v>
      </c>
      <c r="G821" s="20">
        <v>-40.7</v>
      </c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18">
        <v>45986.04451332176</v>
      </c>
      <c r="B822" s="19">
        <v>42.0</v>
      </c>
      <c r="C822" s="19" t="s">
        <v>53</v>
      </c>
      <c r="D822" s="19" t="s">
        <v>5</v>
      </c>
      <c r="E822" s="19">
        <v>30300.0</v>
      </c>
      <c r="F822" s="20">
        <v>2.0</v>
      </c>
      <c r="G822" s="20">
        <v>10.3</v>
      </c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18">
        <v>45986.04451332176</v>
      </c>
      <c r="B823" s="19">
        <v>42.0</v>
      </c>
      <c r="C823" s="19" t="s">
        <v>54</v>
      </c>
      <c r="D823" s="19" t="s">
        <v>6</v>
      </c>
      <c r="E823" s="19">
        <v>47200.0</v>
      </c>
      <c r="F823" s="20">
        <v>1.0</v>
      </c>
      <c r="G823" s="20">
        <v>57.2</v>
      </c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18">
        <v>45986.04451332176</v>
      </c>
      <c r="B824" s="19">
        <v>42.0</v>
      </c>
      <c r="C824" s="19" t="s">
        <v>55</v>
      </c>
      <c r="D824" s="19" t="s">
        <v>7</v>
      </c>
      <c r="E824" s="19">
        <v>21900.0</v>
      </c>
      <c r="F824" s="20">
        <v>3.0</v>
      </c>
      <c r="G824" s="20">
        <v>-18.1</v>
      </c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18">
        <v>45986.04451332176</v>
      </c>
      <c r="B825" s="19">
        <v>42.0</v>
      </c>
      <c r="C825" s="19" t="s">
        <v>56</v>
      </c>
      <c r="D825" s="19" t="s">
        <v>12</v>
      </c>
      <c r="E825" s="19">
        <v>600.0</v>
      </c>
      <c r="F825" s="20">
        <v>4.0</v>
      </c>
      <c r="G825" s="20">
        <v>-49.4</v>
      </c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18">
        <v>45986.044283020834</v>
      </c>
      <c r="B826" s="19">
        <v>41.0</v>
      </c>
      <c r="C826" s="19" t="s">
        <v>53</v>
      </c>
      <c r="D826" s="19" t="s">
        <v>6</v>
      </c>
      <c r="E826" s="19">
        <v>18800.0</v>
      </c>
      <c r="F826" s="20">
        <v>2.0</v>
      </c>
      <c r="G826" s="20">
        <v>-1.1999999999999993</v>
      </c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18">
        <v>45986.044283020834</v>
      </c>
      <c r="B827" s="19">
        <v>41.0</v>
      </c>
      <c r="C827" s="19" t="s">
        <v>54</v>
      </c>
      <c r="D827" s="19" t="s">
        <v>25</v>
      </c>
      <c r="E827" s="19">
        <v>16400.0</v>
      </c>
      <c r="F827" s="20">
        <v>3.0</v>
      </c>
      <c r="G827" s="20">
        <v>-23.6</v>
      </c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18">
        <v>45986.044283020834</v>
      </c>
      <c r="B828" s="19">
        <v>41.0</v>
      </c>
      <c r="C828" s="19" t="s">
        <v>55</v>
      </c>
      <c r="D828" s="19" t="s">
        <v>32</v>
      </c>
      <c r="E828" s="19">
        <v>14800.0</v>
      </c>
      <c r="F828" s="20">
        <v>4.0</v>
      </c>
      <c r="G828" s="20">
        <v>-35.2</v>
      </c>
      <c r="I828" s="6">
        <v>3.0</v>
      </c>
      <c r="J828" s="6">
        <v>5.0</v>
      </c>
      <c r="K828" s="6">
        <v>1.0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18">
        <v>45986.044283020834</v>
      </c>
      <c r="B829" s="19">
        <v>41.0</v>
      </c>
      <c r="C829" s="19" t="s">
        <v>56</v>
      </c>
      <c r="D829" s="19" t="s">
        <v>5</v>
      </c>
      <c r="E829" s="19">
        <v>50000.0</v>
      </c>
      <c r="F829" s="20">
        <v>1.0</v>
      </c>
      <c r="G829" s="20">
        <v>60.0</v>
      </c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18">
        <v>45986.04402450232</v>
      </c>
      <c r="B830" s="19">
        <v>40.0</v>
      </c>
      <c r="C830" s="19" t="s">
        <v>53</v>
      </c>
      <c r="D830" s="19" t="s">
        <v>25</v>
      </c>
      <c r="E830" s="19">
        <v>-3700.0</v>
      </c>
      <c r="F830" s="20">
        <v>4.0</v>
      </c>
      <c r="G830" s="20">
        <v>-53.7</v>
      </c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18">
        <v>45986.04402450232</v>
      </c>
      <c r="B831" s="19">
        <v>40.0</v>
      </c>
      <c r="C831" s="19" t="s">
        <v>54</v>
      </c>
      <c r="D831" s="19" t="s">
        <v>6</v>
      </c>
      <c r="E831" s="19">
        <v>47600.0</v>
      </c>
      <c r="F831" s="20">
        <v>1.0</v>
      </c>
      <c r="G831" s="20">
        <v>57.6</v>
      </c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18">
        <v>45986.04402450232</v>
      </c>
      <c r="B832" s="19">
        <v>40.0</v>
      </c>
      <c r="C832" s="19" t="s">
        <v>55</v>
      </c>
      <c r="D832" s="19" t="s">
        <v>32</v>
      </c>
      <c r="E832" s="19">
        <v>20700.0</v>
      </c>
      <c r="F832" s="20">
        <v>3.0</v>
      </c>
      <c r="G832" s="20">
        <v>-19.3</v>
      </c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18">
        <v>45986.04402450232</v>
      </c>
      <c r="B833" s="19">
        <v>40.0</v>
      </c>
      <c r="C833" s="19" t="s">
        <v>56</v>
      </c>
      <c r="D833" s="19" t="s">
        <v>5</v>
      </c>
      <c r="E833" s="19">
        <v>35400.0</v>
      </c>
      <c r="F833" s="20">
        <v>2.0</v>
      </c>
      <c r="G833" s="20">
        <v>15.4</v>
      </c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18">
        <v>45986.04373578704</v>
      </c>
      <c r="B834" s="19">
        <v>39.0</v>
      </c>
      <c r="C834" s="19" t="s">
        <v>53</v>
      </c>
      <c r="D834" s="19" t="s">
        <v>5</v>
      </c>
      <c r="E834" s="19">
        <v>6500.0</v>
      </c>
      <c r="F834" s="20">
        <v>4.0</v>
      </c>
      <c r="G834" s="20">
        <v>-43.5</v>
      </c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18">
        <v>45986.04373578704</v>
      </c>
      <c r="B835" s="19">
        <v>39.0</v>
      </c>
      <c r="C835" s="19" t="s">
        <v>54</v>
      </c>
      <c r="D835" s="19" t="s">
        <v>6</v>
      </c>
      <c r="E835" s="19">
        <v>43400.0</v>
      </c>
      <c r="F835" s="20">
        <v>1.0</v>
      </c>
      <c r="G835" s="20">
        <v>53.4</v>
      </c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18">
        <v>45986.04373578704</v>
      </c>
      <c r="B836" s="19">
        <v>39.0</v>
      </c>
      <c r="C836" s="19" t="s">
        <v>55</v>
      </c>
      <c r="D836" s="19" t="s">
        <v>32</v>
      </c>
      <c r="E836" s="19">
        <v>18900.0</v>
      </c>
      <c r="F836" s="20">
        <v>3.0</v>
      </c>
      <c r="G836" s="20">
        <v>-21.1</v>
      </c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18">
        <v>45986.04373578704</v>
      </c>
      <c r="B837" s="19">
        <v>39.0</v>
      </c>
      <c r="C837" s="19" t="s">
        <v>56</v>
      </c>
      <c r="D837" s="19" t="s">
        <v>30</v>
      </c>
      <c r="E837" s="19">
        <v>31200.0</v>
      </c>
      <c r="F837" s="20">
        <v>2.0</v>
      </c>
      <c r="G837" s="20">
        <v>11.2</v>
      </c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18">
        <v>45986.043474756945</v>
      </c>
      <c r="B838" s="19">
        <v>38.0</v>
      </c>
      <c r="C838" s="19" t="s">
        <v>53</v>
      </c>
      <c r="D838" s="19" t="s">
        <v>6</v>
      </c>
      <c r="E838" s="19">
        <v>17500.0</v>
      </c>
      <c r="F838" s="20">
        <v>2.0</v>
      </c>
      <c r="G838" s="20">
        <v>-2.5</v>
      </c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18">
        <v>45986.043474756945</v>
      </c>
      <c r="B839" s="19">
        <v>38.0</v>
      </c>
      <c r="C839" s="19" t="s">
        <v>54</v>
      </c>
      <c r="D839" s="19" t="s">
        <v>32</v>
      </c>
      <c r="E839" s="19">
        <v>16600.0</v>
      </c>
      <c r="F839" s="20">
        <v>3.0</v>
      </c>
      <c r="G839" s="20">
        <v>-23.4</v>
      </c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18">
        <v>45986.043474756945</v>
      </c>
      <c r="B840" s="19">
        <v>38.0</v>
      </c>
      <c r="C840" s="19" t="s">
        <v>55</v>
      </c>
      <c r="D840" s="19" t="s">
        <v>5</v>
      </c>
      <c r="E840" s="19">
        <v>68100.0</v>
      </c>
      <c r="F840" s="20">
        <v>1.0</v>
      </c>
      <c r="G840" s="20">
        <v>78.1</v>
      </c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18">
        <v>45986.043474756945</v>
      </c>
      <c r="B841" s="19">
        <v>38.0</v>
      </c>
      <c r="C841" s="19" t="s">
        <v>56</v>
      </c>
      <c r="D841" s="19" t="s">
        <v>30</v>
      </c>
      <c r="E841" s="19">
        <v>-2200.0</v>
      </c>
      <c r="F841" s="20">
        <v>4.0</v>
      </c>
      <c r="G841" s="20">
        <v>-52.2</v>
      </c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18">
        <v>45986.04316728009</v>
      </c>
      <c r="B842" s="19">
        <v>37.0</v>
      </c>
      <c r="C842" s="19" t="s">
        <v>53</v>
      </c>
      <c r="D842" s="19" t="s">
        <v>18</v>
      </c>
      <c r="E842" s="19">
        <v>14200.0</v>
      </c>
      <c r="F842" s="20">
        <v>3.0</v>
      </c>
      <c r="G842" s="20">
        <v>-25.8</v>
      </c>
      <c r="I842" s="6">
        <v>1.0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18">
        <v>45986.04316728009</v>
      </c>
      <c r="B843" s="19">
        <v>37.0</v>
      </c>
      <c r="C843" s="19" t="s">
        <v>54</v>
      </c>
      <c r="D843" s="19" t="s">
        <v>6</v>
      </c>
      <c r="E843" s="19">
        <v>39100.0</v>
      </c>
      <c r="F843" s="20">
        <v>1.0</v>
      </c>
      <c r="G843" s="20">
        <v>49.1</v>
      </c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18">
        <v>45986.04316728009</v>
      </c>
      <c r="B844" s="19">
        <v>37.0</v>
      </c>
      <c r="C844" s="19" t="s">
        <v>55</v>
      </c>
      <c r="D844" s="19" t="s">
        <v>33</v>
      </c>
      <c r="E844" s="19">
        <v>37600.0</v>
      </c>
      <c r="F844" s="20">
        <v>2.0</v>
      </c>
      <c r="G844" s="20">
        <v>17.6</v>
      </c>
      <c r="I844" s="6">
        <v>3.0</v>
      </c>
      <c r="J844" s="6">
        <v>2.0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18">
        <v>45986.04316728009</v>
      </c>
      <c r="B845" s="19">
        <v>37.0</v>
      </c>
      <c r="C845" s="19" t="s">
        <v>56</v>
      </c>
      <c r="D845" s="19" t="s">
        <v>32</v>
      </c>
      <c r="E845" s="19">
        <v>9100.0</v>
      </c>
      <c r="F845" s="20">
        <v>4.0</v>
      </c>
      <c r="G845" s="20">
        <v>-40.9</v>
      </c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18">
        <v>45986.04276182871</v>
      </c>
      <c r="B846" s="19">
        <v>36.0</v>
      </c>
      <c r="C846" s="19" t="s">
        <v>53</v>
      </c>
      <c r="D846" s="19" t="s">
        <v>6</v>
      </c>
      <c r="E846" s="19">
        <v>30000.0</v>
      </c>
      <c r="F846" s="20">
        <v>2.0</v>
      </c>
      <c r="G846" s="20">
        <v>10.0</v>
      </c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18">
        <v>45986.04276182871</v>
      </c>
      <c r="B847" s="19">
        <v>36.0</v>
      </c>
      <c r="C847" s="19" t="s">
        <v>54</v>
      </c>
      <c r="D847" s="19" t="s">
        <v>33</v>
      </c>
      <c r="E847" s="19">
        <v>52300.0</v>
      </c>
      <c r="F847" s="20">
        <v>1.0</v>
      </c>
      <c r="G847" s="20">
        <v>62.3</v>
      </c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18">
        <v>45986.04276182871</v>
      </c>
      <c r="B848" s="19">
        <v>36.0</v>
      </c>
      <c r="C848" s="19" t="s">
        <v>55</v>
      </c>
      <c r="D848" s="19" t="s">
        <v>32</v>
      </c>
      <c r="E848" s="19">
        <v>-1200.0</v>
      </c>
      <c r="F848" s="20">
        <v>4.0</v>
      </c>
      <c r="G848" s="20">
        <v>-51.2</v>
      </c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18">
        <v>45986.04276182871</v>
      </c>
      <c r="B849" s="19">
        <v>36.0</v>
      </c>
      <c r="C849" s="19" t="s">
        <v>56</v>
      </c>
      <c r="D849" s="19" t="s">
        <v>25</v>
      </c>
      <c r="E849" s="19">
        <v>18900.0</v>
      </c>
      <c r="F849" s="20">
        <v>3.0</v>
      </c>
      <c r="G849" s="20">
        <v>-21.1</v>
      </c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18">
        <v>45986.04233553241</v>
      </c>
      <c r="B850" s="19">
        <v>35.0</v>
      </c>
      <c r="C850" s="19" t="s">
        <v>53</v>
      </c>
      <c r="D850" s="19" t="s">
        <v>32</v>
      </c>
      <c r="E850" s="19">
        <v>41300.0</v>
      </c>
      <c r="F850" s="20">
        <v>1.0</v>
      </c>
      <c r="G850" s="20">
        <v>51.3</v>
      </c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18">
        <v>45986.04233553241</v>
      </c>
      <c r="B851" s="19">
        <v>35.0</v>
      </c>
      <c r="C851" s="19" t="s">
        <v>54</v>
      </c>
      <c r="D851" s="19" t="s">
        <v>33</v>
      </c>
      <c r="E851" s="19">
        <v>-5800.0</v>
      </c>
      <c r="F851" s="20">
        <v>4.0</v>
      </c>
      <c r="G851" s="20">
        <v>-55.8</v>
      </c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18">
        <v>45986.04233553241</v>
      </c>
      <c r="B852" s="19">
        <v>35.0</v>
      </c>
      <c r="C852" s="19" t="s">
        <v>55</v>
      </c>
      <c r="D852" s="19" t="s">
        <v>25</v>
      </c>
      <c r="E852" s="19">
        <v>40500.0</v>
      </c>
      <c r="F852" s="20">
        <v>2.0</v>
      </c>
      <c r="G852" s="20">
        <v>20.5</v>
      </c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18">
        <v>45986.04233553241</v>
      </c>
      <c r="B853" s="19">
        <v>35.0</v>
      </c>
      <c r="C853" s="19" t="s">
        <v>56</v>
      </c>
      <c r="D853" s="19" t="s">
        <v>6</v>
      </c>
      <c r="E853" s="19">
        <v>24000.0</v>
      </c>
      <c r="F853" s="20">
        <v>3.0</v>
      </c>
      <c r="G853" s="20">
        <v>-16.0</v>
      </c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18">
        <v>45986.041946770834</v>
      </c>
      <c r="B854" s="19">
        <v>34.0</v>
      </c>
      <c r="C854" s="19" t="s">
        <v>53</v>
      </c>
      <c r="D854" s="19" t="s">
        <v>6</v>
      </c>
      <c r="E854" s="19">
        <v>48000.0</v>
      </c>
      <c r="F854" s="20">
        <v>1.0</v>
      </c>
      <c r="G854" s="20">
        <v>58.0</v>
      </c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18">
        <v>45986.041946770834</v>
      </c>
      <c r="B855" s="19">
        <v>34.0</v>
      </c>
      <c r="C855" s="19" t="s">
        <v>54</v>
      </c>
      <c r="D855" s="19" t="s">
        <v>5</v>
      </c>
      <c r="E855" s="19">
        <v>29300.0</v>
      </c>
      <c r="F855" s="20">
        <v>2.0</v>
      </c>
      <c r="G855" s="20">
        <v>9.3</v>
      </c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18">
        <v>45986.041946770834</v>
      </c>
      <c r="B856" s="19">
        <v>34.0</v>
      </c>
      <c r="C856" s="19" t="s">
        <v>55</v>
      </c>
      <c r="D856" s="19" t="s">
        <v>32</v>
      </c>
      <c r="E856" s="19">
        <v>12000.0</v>
      </c>
      <c r="F856" s="20">
        <v>3.0</v>
      </c>
      <c r="G856" s="20">
        <v>-28.0</v>
      </c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18">
        <v>45986.041946770834</v>
      </c>
      <c r="B857" s="19">
        <v>34.0</v>
      </c>
      <c r="C857" s="19" t="s">
        <v>56</v>
      </c>
      <c r="D857" s="19" t="s">
        <v>7</v>
      </c>
      <c r="E857" s="19">
        <v>10700.0</v>
      </c>
      <c r="F857" s="20">
        <v>4.0</v>
      </c>
      <c r="G857" s="20">
        <v>-39.3</v>
      </c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18">
        <v>45986.04164268519</v>
      </c>
      <c r="B858" s="19">
        <v>33.0</v>
      </c>
      <c r="C858" s="19" t="s">
        <v>53</v>
      </c>
      <c r="D858" s="19" t="s">
        <v>7</v>
      </c>
      <c r="E858" s="19">
        <v>-100.0</v>
      </c>
      <c r="F858" s="20">
        <v>4.0</v>
      </c>
      <c r="G858" s="20">
        <v>-50.1</v>
      </c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18">
        <v>45986.04164268519</v>
      </c>
      <c r="B859" s="19">
        <v>33.0</v>
      </c>
      <c r="C859" s="19" t="s">
        <v>54</v>
      </c>
      <c r="D859" s="19" t="s">
        <v>32</v>
      </c>
      <c r="E859" s="19">
        <v>47400.0</v>
      </c>
      <c r="F859" s="20">
        <v>1.0</v>
      </c>
      <c r="G859" s="20">
        <v>57.4</v>
      </c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18">
        <v>45986.04164268519</v>
      </c>
      <c r="B860" s="19">
        <v>33.0</v>
      </c>
      <c r="C860" s="19" t="s">
        <v>55</v>
      </c>
      <c r="D860" s="19" t="s">
        <v>5</v>
      </c>
      <c r="E860" s="19">
        <v>38200.0</v>
      </c>
      <c r="F860" s="20">
        <v>2.0</v>
      </c>
      <c r="G860" s="20">
        <v>18.2</v>
      </c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18">
        <v>45986.04164268519</v>
      </c>
      <c r="B861" s="19">
        <v>33.0</v>
      </c>
      <c r="C861" s="19" t="s">
        <v>56</v>
      </c>
      <c r="D861" s="19" t="s">
        <v>6</v>
      </c>
      <c r="E861" s="19">
        <v>14500.0</v>
      </c>
      <c r="F861" s="20">
        <v>3.0</v>
      </c>
      <c r="G861" s="20">
        <v>-25.5</v>
      </c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18">
        <v>45986.0413403125</v>
      </c>
      <c r="B862" s="19">
        <v>32.0</v>
      </c>
      <c r="C862" s="19" t="s">
        <v>53</v>
      </c>
      <c r="D862" s="19" t="s">
        <v>6</v>
      </c>
      <c r="E862" s="19">
        <v>12900.0</v>
      </c>
      <c r="F862" s="20">
        <v>4.0</v>
      </c>
      <c r="G862" s="20">
        <v>-37.1</v>
      </c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18">
        <v>45986.0413403125</v>
      </c>
      <c r="B863" s="19">
        <v>32.0</v>
      </c>
      <c r="C863" s="19" t="s">
        <v>54</v>
      </c>
      <c r="D863" s="19" t="s">
        <v>33</v>
      </c>
      <c r="E863" s="19">
        <v>15000.0</v>
      </c>
      <c r="F863" s="20">
        <v>3.0</v>
      </c>
      <c r="G863" s="20">
        <v>-25.0</v>
      </c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18">
        <v>45986.0413403125</v>
      </c>
      <c r="B864" s="19">
        <v>32.0</v>
      </c>
      <c r="C864" s="19" t="s">
        <v>55</v>
      </c>
      <c r="D864" s="19" t="s">
        <v>5</v>
      </c>
      <c r="E864" s="19">
        <v>38100.0</v>
      </c>
      <c r="F864" s="20">
        <v>1.0</v>
      </c>
      <c r="G864" s="20">
        <v>48.1</v>
      </c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18">
        <v>45986.0413403125</v>
      </c>
      <c r="B865" s="19">
        <v>32.0</v>
      </c>
      <c r="C865" s="19" t="s">
        <v>56</v>
      </c>
      <c r="D865" s="19" t="s">
        <v>32</v>
      </c>
      <c r="E865" s="19">
        <v>34000.0</v>
      </c>
      <c r="F865" s="20">
        <v>2.0</v>
      </c>
      <c r="G865" s="20">
        <v>14.0</v>
      </c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18">
        <v>45986.041052870365</v>
      </c>
      <c r="B866" s="19">
        <v>31.0</v>
      </c>
      <c r="C866" s="19" t="s">
        <v>53</v>
      </c>
      <c r="D866" s="19" t="s">
        <v>34</v>
      </c>
      <c r="E866" s="19">
        <v>-4000.0</v>
      </c>
      <c r="F866" s="20">
        <v>4.0</v>
      </c>
      <c r="G866" s="20">
        <v>-54.0</v>
      </c>
      <c r="I866" s="9"/>
      <c r="J866" s="6">
        <v>1.0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18">
        <v>45986.041052870365</v>
      </c>
      <c r="B867" s="19">
        <v>31.0</v>
      </c>
      <c r="C867" s="19" t="s">
        <v>54</v>
      </c>
      <c r="D867" s="19" t="s">
        <v>6</v>
      </c>
      <c r="E867" s="19">
        <v>36400.0</v>
      </c>
      <c r="F867" s="20">
        <v>2.0</v>
      </c>
      <c r="G867" s="20">
        <v>16.4</v>
      </c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18">
        <v>45986.041052870365</v>
      </c>
      <c r="B868" s="19">
        <v>31.0</v>
      </c>
      <c r="C868" s="19" t="s">
        <v>55</v>
      </c>
      <c r="D868" s="19" t="s">
        <v>5</v>
      </c>
      <c r="E868" s="19">
        <v>15700.0</v>
      </c>
      <c r="F868" s="20">
        <v>3.0</v>
      </c>
      <c r="G868" s="20">
        <v>-24.3</v>
      </c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18">
        <v>45986.041052870365</v>
      </c>
      <c r="B869" s="19">
        <v>31.0</v>
      </c>
      <c r="C869" s="19" t="s">
        <v>56</v>
      </c>
      <c r="D869" s="19" t="s">
        <v>32</v>
      </c>
      <c r="E869" s="19">
        <v>51900.0</v>
      </c>
      <c r="F869" s="20">
        <v>1.0</v>
      </c>
      <c r="G869" s="20">
        <v>61.9</v>
      </c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18">
        <v>45986.04081420139</v>
      </c>
      <c r="B870" s="19">
        <v>30.0</v>
      </c>
      <c r="C870" s="19" t="s">
        <v>53</v>
      </c>
      <c r="D870" s="19" t="s">
        <v>6</v>
      </c>
      <c r="E870" s="19">
        <v>18400.0</v>
      </c>
      <c r="F870" s="20">
        <v>3.0</v>
      </c>
      <c r="G870" s="20">
        <v>-21.6</v>
      </c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18">
        <v>45986.04081420139</v>
      </c>
      <c r="B871" s="19">
        <v>30.0</v>
      </c>
      <c r="C871" s="19" t="s">
        <v>54</v>
      </c>
      <c r="D871" s="19" t="s">
        <v>32</v>
      </c>
      <c r="E871" s="19">
        <v>-17100.0</v>
      </c>
      <c r="F871" s="20">
        <v>4.0</v>
      </c>
      <c r="G871" s="20">
        <v>-67.1</v>
      </c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18">
        <v>45986.04081420139</v>
      </c>
      <c r="B872" s="19">
        <v>30.0</v>
      </c>
      <c r="C872" s="19" t="s">
        <v>55</v>
      </c>
      <c r="D872" s="19" t="s">
        <v>5</v>
      </c>
      <c r="E872" s="19">
        <v>59100.0</v>
      </c>
      <c r="F872" s="20">
        <v>1.0</v>
      </c>
      <c r="G872" s="20">
        <v>69.1</v>
      </c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18">
        <v>45986.04081420139</v>
      </c>
      <c r="B873" s="19">
        <v>30.0</v>
      </c>
      <c r="C873" s="19" t="s">
        <v>56</v>
      </c>
      <c r="D873" s="19" t="s">
        <v>34</v>
      </c>
      <c r="E873" s="19">
        <v>39600.0</v>
      </c>
      <c r="F873" s="20">
        <v>2.0</v>
      </c>
      <c r="G873" s="20">
        <v>19.6</v>
      </c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18">
        <v>45986.04055532407</v>
      </c>
      <c r="B874" s="19">
        <v>29.0</v>
      </c>
      <c r="C874" s="19" t="s">
        <v>53</v>
      </c>
      <c r="D874" s="19" t="s">
        <v>6</v>
      </c>
      <c r="E874" s="19">
        <v>29300.0</v>
      </c>
      <c r="F874" s="20">
        <v>2.0</v>
      </c>
      <c r="G874" s="20">
        <v>9.3</v>
      </c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18">
        <v>45986.04055532407</v>
      </c>
      <c r="B875" s="19">
        <v>29.0</v>
      </c>
      <c r="C875" s="19" t="s">
        <v>54</v>
      </c>
      <c r="D875" s="19" t="s">
        <v>5</v>
      </c>
      <c r="E875" s="19">
        <v>63400.0</v>
      </c>
      <c r="F875" s="20">
        <v>1.0</v>
      </c>
      <c r="G875" s="20">
        <v>73.4</v>
      </c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18">
        <v>45986.04055532407</v>
      </c>
      <c r="B876" s="19">
        <v>29.0</v>
      </c>
      <c r="C876" s="19" t="s">
        <v>55</v>
      </c>
      <c r="D876" s="19" t="s">
        <v>32</v>
      </c>
      <c r="E876" s="19">
        <v>-5800.0</v>
      </c>
      <c r="F876" s="20">
        <v>4.0</v>
      </c>
      <c r="G876" s="20">
        <v>-55.8</v>
      </c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18">
        <v>45986.04055532407</v>
      </c>
      <c r="B877" s="19">
        <v>29.0</v>
      </c>
      <c r="C877" s="19" t="s">
        <v>56</v>
      </c>
      <c r="D877" s="19" t="s">
        <v>34</v>
      </c>
      <c r="E877" s="19">
        <v>13100.0</v>
      </c>
      <c r="F877" s="20">
        <v>3.0</v>
      </c>
      <c r="G877" s="20">
        <v>-26.9</v>
      </c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18">
        <v>45986.04027890046</v>
      </c>
      <c r="B878" s="19">
        <v>28.0</v>
      </c>
      <c r="C878" s="19" t="s">
        <v>53</v>
      </c>
      <c r="D878" s="19" t="s">
        <v>6</v>
      </c>
      <c r="E878" s="19">
        <v>40200.0</v>
      </c>
      <c r="F878" s="20">
        <v>1.0</v>
      </c>
      <c r="G878" s="20">
        <v>50.2</v>
      </c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18">
        <v>45986.04027890046</v>
      </c>
      <c r="B879" s="19">
        <v>28.0</v>
      </c>
      <c r="C879" s="19" t="s">
        <v>54</v>
      </c>
      <c r="D879" s="19" t="s">
        <v>5</v>
      </c>
      <c r="E879" s="19">
        <v>28500.0</v>
      </c>
      <c r="F879" s="20">
        <v>2.0</v>
      </c>
      <c r="G879" s="20">
        <v>8.5</v>
      </c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18">
        <v>45986.04027890046</v>
      </c>
      <c r="B880" s="19">
        <v>28.0</v>
      </c>
      <c r="C880" s="19" t="s">
        <v>55</v>
      </c>
      <c r="D880" s="19" t="s">
        <v>32</v>
      </c>
      <c r="E880" s="19">
        <v>17000.0</v>
      </c>
      <c r="F880" s="20">
        <v>3.0</v>
      </c>
      <c r="G880" s="20">
        <v>-23.0</v>
      </c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18">
        <v>45986.04027890046</v>
      </c>
      <c r="B881" s="19">
        <v>28.0</v>
      </c>
      <c r="C881" s="19" t="s">
        <v>56</v>
      </c>
      <c r="D881" s="19" t="s">
        <v>34</v>
      </c>
      <c r="E881" s="19">
        <v>14300.0</v>
      </c>
      <c r="F881" s="20">
        <v>4.0</v>
      </c>
      <c r="G881" s="20">
        <v>-35.7</v>
      </c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18">
        <v>45986.039978368055</v>
      </c>
      <c r="B882" s="19">
        <v>27.0</v>
      </c>
      <c r="C882" s="19" t="s">
        <v>53</v>
      </c>
      <c r="D882" s="19" t="s">
        <v>5</v>
      </c>
      <c r="E882" s="19">
        <v>21400.0</v>
      </c>
      <c r="F882" s="20">
        <v>3.0</v>
      </c>
      <c r="G882" s="20">
        <v>-18.6</v>
      </c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18">
        <v>45986.039978368055</v>
      </c>
      <c r="B883" s="19">
        <v>27.0</v>
      </c>
      <c r="C883" s="19" t="s">
        <v>54</v>
      </c>
      <c r="D883" s="19" t="s">
        <v>32</v>
      </c>
      <c r="E883" s="19">
        <v>22800.0</v>
      </c>
      <c r="F883" s="20">
        <v>2.0</v>
      </c>
      <c r="G883" s="20">
        <v>2.8</v>
      </c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18">
        <v>45986.039978368055</v>
      </c>
      <c r="B884" s="19">
        <v>27.0</v>
      </c>
      <c r="C884" s="19" t="s">
        <v>55</v>
      </c>
      <c r="D884" s="19" t="s">
        <v>34</v>
      </c>
      <c r="E884" s="19">
        <v>39400.0</v>
      </c>
      <c r="F884" s="20">
        <v>1.0</v>
      </c>
      <c r="G884" s="20">
        <v>49.4</v>
      </c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18">
        <v>45986.039978368055</v>
      </c>
      <c r="B885" s="19">
        <v>27.0</v>
      </c>
      <c r="C885" s="19" t="s">
        <v>56</v>
      </c>
      <c r="D885" s="19" t="s">
        <v>6</v>
      </c>
      <c r="E885" s="19">
        <v>16400.0</v>
      </c>
      <c r="F885" s="20">
        <v>4.0</v>
      </c>
      <c r="G885" s="20">
        <v>-33.6</v>
      </c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18">
        <v>45986.03971287037</v>
      </c>
      <c r="B886" s="19">
        <v>26.0</v>
      </c>
      <c r="C886" s="19" t="s">
        <v>53</v>
      </c>
      <c r="D886" s="19" t="s">
        <v>7</v>
      </c>
      <c r="E886" s="19">
        <v>37000.0</v>
      </c>
      <c r="F886" s="20">
        <v>1.0</v>
      </c>
      <c r="G886" s="20">
        <v>47.0</v>
      </c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18">
        <v>45986.03971287037</v>
      </c>
      <c r="B887" s="19">
        <v>26.0</v>
      </c>
      <c r="C887" s="19" t="s">
        <v>54</v>
      </c>
      <c r="D887" s="19" t="s">
        <v>32</v>
      </c>
      <c r="E887" s="19">
        <v>26300.0</v>
      </c>
      <c r="F887" s="20">
        <v>2.0</v>
      </c>
      <c r="G887" s="20">
        <v>6.3</v>
      </c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18">
        <v>45986.03971287037</v>
      </c>
      <c r="B888" s="19">
        <v>26.0</v>
      </c>
      <c r="C888" s="19" t="s">
        <v>55</v>
      </c>
      <c r="D888" s="19" t="s">
        <v>6</v>
      </c>
      <c r="E888" s="19">
        <v>16200.0</v>
      </c>
      <c r="F888" s="20">
        <v>4.0</v>
      </c>
      <c r="G888" s="20">
        <v>-33.8</v>
      </c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18">
        <v>45986.03971287037</v>
      </c>
      <c r="B889" s="19">
        <v>26.0</v>
      </c>
      <c r="C889" s="19" t="s">
        <v>56</v>
      </c>
      <c r="D889" s="19" t="s">
        <v>18</v>
      </c>
      <c r="E889" s="19">
        <v>20500.0</v>
      </c>
      <c r="F889" s="20">
        <v>3.0</v>
      </c>
      <c r="G889" s="20">
        <v>-19.5</v>
      </c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18">
        <v>45986.03939597222</v>
      </c>
      <c r="B890" s="19">
        <v>25.0</v>
      </c>
      <c r="C890" s="19" t="s">
        <v>53</v>
      </c>
      <c r="D890" s="19" t="s">
        <v>7</v>
      </c>
      <c r="E890" s="19">
        <v>25800.0</v>
      </c>
      <c r="F890" s="20">
        <v>2.0</v>
      </c>
      <c r="G890" s="20">
        <v>5.8</v>
      </c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18">
        <v>45986.03939597222</v>
      </c>
      <c r="B891" s="19">
        <v>25.0</v>
      </c>
      <c r="C891" s="19" t="s">
        <v>54</v>
      </c>
      <c r="D891" s="19" t="s">
        <v>6</v>
      </c>
      <c r="E891" s="19">
        <v>19700.0</v>
      </c>
      <c r="F891" s="20">
        <v>4.0</v>
      </c>
      <c r="G891" s="20">
        <v>-30.3</v>
      </c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18">
        <v>45986.03939597222</v>
      </c>
      <c r="B892" s="19">
        <v>25.0</v>
      </c>
      <c r="C892" s="19" t="s">
        <v>55</v>
      </c>
      <c r="D892" s="19" t="s">
        <v>32</v>
      </c>
      <c r="E892" s="19">
        <v>33600.0</v>
      </c>
      <c r="F892" s="20">
        <v>1.0</v>
      </c>
      <c r="G892" s="20">
        <v>43.6</v>
      </c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18">
        <v>45986.03939597222</v>
      </c>
      <c r="B893" s="19">
        <v>25.0</v>
      </c>
      <c r="C893" s="19" t="s">
        <v>56</v>
      </c>
      <c r="D893" s="19" t="s">
        <v>18</v>
      </c>
      <c r="E893" s="19">
        <v>20900.0</v>
      </c>
      <c r="F893" s="20">
        <v>3.0</v>
      </c>
      <c r="G893" s="20">
        <v>-19.1</v>
      </c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18">
        <v>45986.03893758102</v>
      </c>
      <c r="B894" s="19">
        <v>24.0</v>
      </c>
      <c r="C894" s="19" t="s">
        <v>53</v>
      </c>
      <c r="D894" s="19" t="s">
        <v>6</v>
      </c>
      <c r="E894" s="19">
        <v>49200.0</v>
      </c>
      <c r="F894" s="20">
        <v>1.0</v>
      </c>
      <c r="G894" s="20">
        <v>59.2</v>
      </c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18">
        <v>45986.03893758102</v>
      </c>
      <c r="B895" s="19">
        <v>24.0</v>
      </c>
      <c r="C895" s="19" t="s">
        <v>54</v>
      </c>
      <c r="D895" s="19" t="s">
        <v>28</v>
      </c>
      <c r="E895" s="19">
        <v>42100.0</v>
      </c>
      <c r="F895" s="20">
        <v>2.0</v>
      </c>
      <c r="G895" s="20">
        <v>22.1</v>
      </c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18">
        <v>45986.03893758102</v>
      </c>
      <c r="B896" s="19">
        <v>24.0</v>
      </c>
      <c r="C896" s="19" t="s">
        <v>55</v>
      </c>
      <c r="D896" s="19" t="s">
        <v>7</v>
      </c>
      <c r="E896" s="19">
        <v>9200.0</v>
      </c>
      <c r="F896" s="20">
        <v>3.0</v>
      </c>
      <c r="G896" s="20">
        <v>-30.8</v>
      </c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18">
        <v>45986.03893758102</v>
      </c>
      <c r="B897" s="19">
        <v>24.0</v>
      </c>
      <c r="C897" s="19" t="s">
        <v>56</v>
      </c>
      <c r="D897" s="19" t="s">
        <v>29</v>
      </c>
      <c r="E897" s="19">
        <v>-500.0</v>
      </c>
      <c r="F897" s="20">
        <v>4.0</v>
      </c>
      <c r="G897" s="20">
        <v>-50.5</v>
      </c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18">
        <v>45986.03865017361</v>
      </c>
      <c r="B898" s="19">
        <v>23.0</v>
      </c>
      <c r="C898" s="19" t="s">
        <v>53</v>
      </c>
      <c r="D898" s="19" t="s">
        <v>29</v>
      </c>
      <c r="E898" s="19">
        <v>20500.0</v>
      </c>
      <c r="F898" s="20">
        <v>4.0</v>
      </c>
      <c r="G898" s="20">
        <v>-29.5</v>
      </c>
      <c r="I898" s="6">
        <v>1.0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18">
        <v>45986.03865017361</v>
      </c>
      <c r="B899" s="19">
        <v>23.0</v>
      </c>
      <c r="C899" s="19" t="s">
        <v>54</v>
      </c>
      <c r="D899" s="19" t="s">
        <v>7</v>
      </c>
      <c r="E899" s="19">
        <v>22500.0</v>
      </c>
      <c r="F899" s="20">
        <v>2.0</v>
      </c>
      <c r="G899" s="20">
        <v>2.5</v>
      </c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18">
        <v>45986.03865017361</v>
      </c>
      <c r="B900" s="19">
        <v>23.0</v>
      </c>
      <c r="C900" s="19" t="s">
        <v>55</v>
      </c>
      <c r="D900" s="19" t="s">
        <v>28</v>
      </c>
      <c r="E900" s="19">
        <v>21800.0</v>
      </c>
      <c r="F900" s="20">
        <v>3.0</v>
      </c>
      <c r="G900" s="20">
        <v>-18.2</v>
      </c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18">
        <v>45986.03865017361</v>
      </c>
      <c r="B901" s="19">
        <v>23.0</v>
      </c>
      <c r="C901" s="19" t="s">
        <v>56</v>
      </c>
      <c r="D901" s="19" t="s">
        <v>6</v>
      </c>
      <c r="E901" s="19">
        <v>35200.0</v>
      </c>
      <c r="F901" s="20">
        <v>1.0</v>
      </c>
      <c r="G901" s="20">
        <v>45.2</v>
      </c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18">
        <v>45986.03830003472</v>
      </c>
      <c r="B902" s="19">
        <v>22.0</v>
      </c>
      <c r="C902" s="19" t="s">
        <v>53</v>
      </c>
      <c r="D902" s="19" t="s">
        <v>12</v>
      </c>
      <c r="E902" s="19">
        <v>19400.0</v>
      </c>
      <c r="F902" s="20">
        <v>3.0</v>
      </c>
      <c r="G902" s="20">
        <v>-20.6</v>
      </c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18">
        <v>45986.03830003472</v>
      </c>
      <c r="B903" s="19">
        <v>22.0</v>
      </c>
      <c r="C903" s="19" t="s">
        <v>54</v>
      </c>
      <c r="D903" s="19" t="s">
        <v>6</v>
      </c>
      <c r="E903" s="19">
        <v>52200.0</v>
      </c>
      <c r="F903" s="20">
        <v>1.0</v>
      </c>
      <c r="G903" s="20">
        <v>62.2</v>
      </c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18">
        <v>45986.03830003472</v>
      </c>
      <c r="B904" s="19">
        <v>22.0</v>
      </c>
      <c r="C904" s="19" t="s">
        <v>55</v>
      </c>
      <c r="D904" s="19" t="s">
        <v>34</v>
      </c>
      <c r="E904" s="19">
        <v>23100.0</v>
      </c>
      <c r="F904" s="20">
        <v>2.0</v>
      </c>
      <c r="G904" s="20">
        <v>3.0999999999999996</v>
      </c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18">
        <v>45986.03830003472</v>
      </c>
      <c r="B905" s="19">
        <v>22.0</v>
      </c>
      <c r="C905" s="19" t="s">
        <v>56</v>
      </c>
      <c r="D905" s="19" t="s">
        <v>32</v>
      </c>
      <c r="E905" s="19">
        <v>5300.0</v>
      </c>
      <c r="F905" s="20">
        <v>4.0</v>
      </c>
      <c r="G905" s="20">
        <v>-44.7</v>
      </c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18">
        <v>45986.0380205324</v>
      </c>
      <c r="B906" s="19">
        <v>21.0</v>
      </c>
      <c r="C906" s="19" t="s">
        <v>53</v>
      </c>
      <c r="D906" s="19" t="s">
        <v>12</v>
      </c>
      <c r="E906" s="19">
        <v>6800.0</v>
      </c>
      <c r="F906" s="20">
        <v>4.0</v>
      </c>
      <c r="G906" s="20">
        <v>-43.2</v>
      </c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18">
        <v>45986.0380205324</v>
      </c>
      <c r="B907" s="19">
        <v>21.0</v>
      </c>
      <c r="C907" s="19" t="s">
        <v>54</v>
      </c>
      <c r="D907" s="19" t="s">
        <v>34</v>
      </c>
      <c r="E907" s="19">
        <v>15500.0</v>
      </c>
      <c r="F907" s="20">
        <v>3.0</v>
      </c>
      <c r="G907" s="20">
        <v>-24.5</v>
      </c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18">
        <v>45986.0380205324</v>
      </c>
      <c r="B908" s="19">
        <v>21.0</v>
      </c>
      <c r="C908" s="19" t="s">
        <v>55</v>
      </c>
      <c r="D908" s="19" t="s">
        <v>6</v>
      </c>
      <c r="E908" s="19">
        <v>44500.0</v>
      </c>
      <c r="F908" s="20">
        <v>1.0</v>
      </c>
      <c r="G908" s="20">
        <v>54.5</v>
      </c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18">
        <v>45986.0380205324</v>
      </c>
      <c r="B909" s="19">
        <v>21.0</v>
      </c>
      <c r="C909" s="19" t="s">
        <v>56</v>
      </c>
      <c r="D909" s="19" t="s">
        <v>32</v>
      </c>
      <c r="E909" s="19">
        <v>33200.0</v>
      </c>
      <c r="F909" s="20">
        <v>2.0</v>
      </c>
      <c r="G909" s="20">
        <v>13.2</v>
      </c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18">
        <v>45986.037626053236</v>
      </c>
      <c r="B910" s="19">
        <v>20.0</v>
      </c>
      <c r="C910" s="19" t="s">
        <v>53</v>
      </c>
      <c r="D910" s="19" t="s">
        <v>34</v>
      </c>
      <c r="E910" s="19">
        <v>5100.0</v>
      </c>
      <c r="F910" s="20">
        <v>4.0</v>
      </c>
      <c r="G910" s="20">
        <v>-44.9</v>
      </c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18">
        <v>45986.037626053236</v>
      </c>
      <c r="B911" s="19">
        <v>20.0</v>
      </c>
      <c r="C911" s="19" t="s">
        <v>54</v>
      </c>
      <c r="D911" s="19" t="s">
        <v>32</v>
      </c>
      <c r="E911" s="19">
        <v>7400.0</v>
      </c>
      <c r="F911" s="20">
        <v>3.0</v>
      </c>
      <c r="G911" s="20">
        <v>-32.6</v>
      </c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18">
        <v>45986.037626053236</v>
      </c>
      <c r="B912" s="19">
        <v>20.0</v>
      </c>
      <c r="C912" s="19" t="s">
        <v>55</v>
      </c>
      <c r="D912" s="19" t="s">
        <v>12</v>
      </c>
      <c r="E912" s="19">
        <v>39400.0</v>
      </c>
      <c r="F912" s="20">
        <v>2.0</v>
      </c>
      <c r="G912" s="20">
        <v>19.4</v>
      </c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18">
        <v>45986.037626053236</v>
      </c>
      <c r="B913" s="19">
        <v>20.0</v>
      </c>
      <c r="C913" s="19" t="s">
        <v>56</v>
      </c>
      <c r="D913" s="19" t="s">
        <v>6</v>
      </c>
      <c r="E913" s="19">
        <v>48100.0</v>
      </c>
      <c r="F913" s="20">
        <v>1.0</v>
      </c>
      <c r="G913" s="20">
        <v>58.1</v>
      </c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18">
        <v>45986.035760416664</v>
      </c>
      <c r="B914" s="19">
        <v>19.0</v>
      </c>
      <c r="C914" s="19" t="s">
        <v>53</v>
      </c>
      <c r="D914" s="19" t="s">
        <v>34</v>
      </c>
      <c r="E914" s="19">
        <v>19300.0</v>
      </c>
      <c r="F914" s="20">
        <v>4.0</v>
      </c>
      <c r="G914" s="20">
        <v>-30.7</v>
      </c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18">
        <v>45986.035760416664</v>
      </c>
      <c r="B915" s="19">
        <v>19.0</v>
      </c>
      <c r="C915" s="19" t="s">
        <v>54</v>
      </c>
      <c r="D915" s="19" t="s">
        <v>12</v>
      </c>
      <c r="E915" s="19">
        <v>20000.0</v>
      </c>
      <c r="F915" s="20">
        <v>3.0</v>
      </c>
      <c r="G915" s="20">
        <v>-20.0</v>
      </c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18">
        <v>45986.035760416664</v>
      </c>
      <c r="B916" s="19">
        <v>19.0</v>
      </c>
      <c r="C916" s="19" t="s">
        <v>55</v>
      </c>
      <c r="D916" s="19" t="s">
        <v>32</v>
      </c>
      <c r="E916" s="19">
        <v>24500.0</v>
      </c>
      <c r="F916" s="20">
        <v>2.0</v>
      </c>
      <c r="G916" s="20">
        <v>4.5</v>
      </c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18">
        <v>45986.035760416664</v>
      </c>
      <c r="B917" s="19">
        <v>19.0</v>
      </c>
      <c r="C917" s="19" t="s">
        <v>56</v>
      </c>
      <c r="D917" s="19" t="s">
        <v>6</v>
      </c>
      <c r="E917" s="19">
        <v>36200.0</v>
      </c>
      <c r="F917" s="20">
        <v>1.0</v>
      </c>
      <c r="G917" s="20">
        <v>46.2</v>
      </c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18">
        <v>45986.03166252315</v>
      </c>
      <c r="B918" s="19">
        <v>18.0</v>
      </c>
      <c r="C918" s="19" t="s">
        <v>53</v>
      </c>
      <c r="D918" s="19" t="s">
        <v>29</v>
      </c>
      <c r="E918" s="19">
        <v>-1000.0</v>
      </c>
      <c r="F918" s="20">
        <v>4.0</v>
      </c>
      <c r="G918" s="20">
        <v>-51.0</v>
      </c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18">
        <v>45986.03166252315</v>
      </c>
      <c r="B919" s="19">
        <v>18.0</v>
      </c>
      <c r="C919" s="19" t="s">
        <v>54</v>
      </c>
      <c r="D919" s="19" t="s">
        <v>7</v>
      </c>
      <c r="E919" s="19">
        <v>34000.0</v>
      </c>
      <c r="F919" s="20">
        <v>1.0</v>
      </c>
      <c r="G919" s="6">
        <v>44.0</v>
      </c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18">
        <v>45986.03166252315</v>
      </c>
      <c r="B920" s="19">
        <v>18.0</v>
      </c>
      <c r="C920" s="19" t="s">
        <v>55</v>
      </c>
      <c r="D920" s="19" t="s">
        <v>35</v>
      </c>
      <c r="E920" s="19">
        <v>33800.0</v>
      </c>
      <c r="F920" s="20">
        <v>2.0</v>
      </c>
      <c r="G920" s="20">
        <v>13.8</v>
      </c>
      <c r="I920" s="6">
        <v>4.0</v>
      </c>
      <c r="J920" s="6">
        <v>4.0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18">
        <v>45986.03166252315</v>
      </c>
      <c r="B921" s="19">
        <v>18.0</v>
      </c>
      <c r="C921" s="19" t="s">
        <v>56</v>
      </c>
      <c r="D921" s="19" t="s">
        <v>6</v>
      </c>
      <c r="E921" s="19">
        <v>33200.0</v>
      </c>
      <c r="F921" s="20">
        <v>3.0</v>
      </c>
      <c r="G921" s="20">
        <v>-6.8</v>
      </c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18">
        <v>45986.031296967594</v>
      </c>
      <c r="B922" s="19">
        <v>17.0</v>
      </c>
      <c r="C922" s="19" t="s">
        <v>53</v>
      </c>
      <c r="D922" s="19" t="s">
        <v>7</v>
      </c>
      <c r="E922" s="19">
        <v>24800.0</v>
      </c>
      <c r="F922" s="20">
        <v>3.0</v>
      </c>
      <c r="G922" s="20">
        <v>-15.2</v>
      </c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18">
        <v>45986.031296967594</v>
      </c>
      <c r="B923" s="19">
        <v>17.0</v>
      </c>
      <c r="C923" s="19" t="s">
        <v>54</v>
      </c>
      <c r="D923" s="19" t="s">
        <v>29</v>
      </c>
      <c r="E923" s="19">
        <v>-9500.0</v>
      </c>
      <c r="F923" s="20">
        <v>4.0</v>
      </c>
      <c r="G923" s="20">
        <v>-59.5</v>
      </c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18">
        <v>45986.031296967594</v>
      </c>
      <c r="B924" s="19">
        <v>17.0</v>
      </c>
      <c r="C924" s="19" t="s">
        <v>55</v>
      </c>
      <c r="D924" s="19" t="s">
        <v>6</v>
      </c>
      <c r="E924" s="19">
        <v>40000.0</v>
      </c>
      <c r="F924" s="20">
        <v>2.0</v>
      </c>
      <c r="G924" s="20">
        <v>20.0</v>
      </c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18">
        <v>45986.031296967594</v>
      </c>
      <c r="B925" s="19">
        <v>17.0</v>
      </c>
      <c r="C925" s="19" t="s">
        <v>56</v>
      </c>
      <c r="D925" s="19" t="s">
        <v>35</v>
      </c>
      <c r="E925" s="19">
        <v>44700.0</v>
      </c>
      <c r="F925" s="20">
        <v>1.0</v>
      </c>
      <c r="G925" s="6">
        <v>54.7</v>
      </c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18">
        <v>45986.03096120371</v>
      </c>
      <c r="B926" s="19">
        <v>16.0</v>
      </c>
      <c r="C926" s="19" t="s">
        <v>53</v>
      </c>
      <c r="D926" s="19" t="s">
        <v>7</v>
      </c>
      <c r="E926" s="19">
        <v>59000.0</v>
      </c>
      <c r="F926" s="20">
        <v>1.0</v>
      </c>
      <c r="G926" s="6">
        <v>69.0</v>
      </c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18">
        <v>45986.03096120371</v>
      </c>
      <c r="B927" s="19">
        <v>16.0</v>
      </c>
      <c r="C927" s="19" t="s">
        <v>54</v>
      </c>
      <c r="D927" s="19" t="s">
        <v>6</v>
      </c>
      <c r="E927" s="19">
        <v>21600.0</v>
      </c>
      <c r="F927" s="20">
        <v>3.0</v>
      </c>
      <c r="G927" s="20">
        <v>-18.4</v>
      </c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18">
        <v>45986.03096120371</v>
      </c>
      <c r="B928" s="19">
        <v>16.0</v>
      </c>
      <c r="C928" s="19" t="s">
        <v>55</v>
      </c>
      <c r="D928" s="19" t="s">
        <v>35</v>
      </c>
      <c r="E928" s="19">
        <v>-7100.0</v>
      </c>
      <c r="F928" s="20">
        <v>4.0</v>
      </c>
      <c r="G928" s="20">
        <v>-57.1</v>
      </c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18">
        <v>45986.03096120371</v>
      </c>
      <c r="B929" s="19">
        <v>16.0</v>
      </c>
      <c r="C929" s="19" t="s">
        <v>56</v>
      </c>
      <c r="D929" s="19" t="s">
        <v>29</v>
      </c>
      <c r="E929" s="19">
        <v>26500.0</v>
      </c>
      <c r="F929" s="20">
        <v>2.0</v>
      </c>
      <c r="G929" s="20">
        <v>6.5</v>
      </c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18">
        <v>45986.03058493056</v>
      </c>
      <c r="B930" s="19">
        <v>15.0</v>
      </c>
      <c r="C930" s="19" t="s">
        <v>53</v>
      </c>
      <c r="D930" s="19" t="s">
        <v>6</v>
      </c>
      <c r="E930" s="19">
        <v>12600.0</v>
      </c>
      <c r="F930" s="20">
        <v>4.0</v>
      </c>
      <c r="G930" s="20">
        <v>-37.4</v>
      </c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18">
        <v>45986.03058493056</v>
      </c>
      <c r="B931" s="19">
        <v>15.0</v>
      </c>
      <c r="C931" s="19" t="s">
        <v>54</v>
      </c>
      <c r="D931" s="19" t="s">
        <v>7</v>
      </c>
      <c r="E931" s="19">
        <v>18200.0</v>
      </c>
      <c r="F931" s="20">
        <v>3.0</v>
      </c>
      <c r="G931" s="20">
        <v>-21.8</v>
      </c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18">
        <v>45986.03058493056</v>
      </c>
      <c r="B932" s="19">
        <v>15.0</v>
      </c>
      <c r="C932" s="19" t="s">
        <v>55</v>
      </c>
      <c r="D932" s="19" t="s">
        <v>35</v>
      </c>
      <c r="E932" s="19">
        <v>33600.0</v>
      </c>
      <c r="F932" s="20">
        <v>2.0</v>
      </c>
      <c r="G932" s="20">
        <v>13.6</v>
      </c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18">
        <v>45986.03058493056</v>
      </c>
      <c r="B933" s="19">
        <v>15.0</v>
      </c>
      <c r="C933" s="19" t="s">
        <v>56</v>
      </c>
      <c r="D933" s="19" t="s">
        <v>29</v>
      </c>
      <c r="E933" s="19">
        <v>35600.0</v>
      </c>
      <c r="F933" s="20">
        <v>1.0</v>
      </c>
      <c r="G933" s="6">
        <v>45.6</v>
      </c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18">
        <v>45986.03026177084</v>
      </c>
      <c r="B934" s="19">
        <v>14.0</v>
      </c>
      <c r="C934" s="19" t="s">
        <v>53</v>
      </c>
      <c r="D934" s="19" t="s">
        <v>34</v>
      </c>
      <c r="E934" s="19">
        <v>-6900.0</v>
      </c>
      <c r="F934" s="20">
        <v>4.0</v>
      </c>
      <c r="G934" s="20">
        <v>-56.9</v>
      </c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18">
        <v>45986.03026177084</v>
      </c>
      <c r="B935" s="19">
        <v>14.0</v>
      </c>
      <c r="C935" s="19" t="s">
        <v>54</v>
      </c>
      <c r="D935" s="19" t="s">
        <v>5</v>
      </c>
      <c r="E935" s="19">
        <v>37800.0</v>
      </c>
      <c r="F935" s="20">
        <v>2.0</v>
      </c>
      <c r="G935" s="20">
        <v>17.8</v>
      </c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18">
        <v>45986.03026177084</v>
      </c>
      <c r="B936" s="19">
        <v>14.0</v>
      </c>
      <c r="C936" s="19" t="s">
        <v>55</v>
      </c>
      <c r="D936" s="19" t="s">
        <v>28</v>
      </c>
      <c r="E936" s="19">
        <v>16100.0</v>
      </c>
      <c r="F936" s="20">
        <v>3.0</v>
      </c>
      <c r="G936" s="20">
        <v>-23.9</v>
      </c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18">
        <v>45986.03026177084</v>
      </c>
      <c r="B937" s="19">
        <v>14.0</v>
      </c>
      <c r="C937" s="19" t="s">
        <v>56</v>
      </c>
      <c r="D937" s="19" t="s">
        <v>6</v>
      </c>
      <c r="E937" s="19">
        <v>53000.0</v>
      </c>
      <c r="F937" s="20">
        <v>1.0</v>
      </c>
      <c r="G937" s="6">
        <v>63.0</v>
      </c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18">
        <v>45986.02995618056</v>
      </c>
      <c r="B938" s="19">
        <v>13.0</v>
      </c>
      <c r="C938" s="19" t="s">
        <v>53</v>
      </c>
      <c r="D938" s="19" t="s">
        <v>28</v>
      </c>
      <c r="E938" s="19">
        <v>21300.0</v>
      </c>
      <c r="F938" s="20">
        <v>3.0</v>
      </c>
      <c r="G938" s="20">
        <v>-18.7</v>
      </c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18">
        <v>45986.02995618056</v>
      </c>
      <c r="B939" s="19">
        <v>13.0</v>
      </c>
      <c r="C939" s="19" t="s">
        <v>54</v>
      </c>
      <c r="D939" s="19" t="s">
        <v>34</v>
      </c>
      <c r="E939" s="19">
        <v>14200.0</v>
      </c>
      <c r="F939" s="20">
        <v>4.0</v>
      </c>
      <c r="G939" s="20">
        <v>-35.8</v>
      </c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18">
        <v>45986.02995618056</v>
      </c>
      <c r="B940" s="19">
        <v>13.0</v>
      </c>
      <c r="C940" s="19" t="s">
        <v>55</v>
      </c>
      <c r="D940" s="19" t="s">
        <v>5</v>
      </c>
      <c r="E940" s="19">
        <v>38900.0</v>
      </c>
      <c r="F940" s="20">
        <v>1.0</v>
      </c>
      <c r="G940" s="6">
        <v>48.9</v>
      </c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18">
        <v>45986.02995618056</v>
      </c>
      <c r="B941" s="19">
        <v>13.0</v>
      </c>
      <c r="C941" s="19" t="s">
        <v>56</v>
      </c>
      <c r="D941" s="19" t="s">
        <v>6</v>
      </c>
      <c r="E941" s="19">
        <v>25600.0</v>
      </c>
      <c r="F941" s="20">
        <v>2.0</v>
      </c>
      <c r="G941" s="20">
        <v>5.6</v>
      </c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18">
        <v>45986.029692384254</v>
      </c>
      <c r="B942" s="19">
        <v>12.0</v>
      </c>
      <c r="C942" s="19" t="s">
        <v>53</v>
      </c>
      <c r="D942" s="19" t="s">
        <v>6</v>
      </c>
      <c r="E942" s="19">
        <v>19800.0</v>
      </c>
      <c r="F942" s="20">
        <v>4.0</v>
      </c>
      <c r="G942" s="20">
        <v>-30.2</v>
      </c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18">
        <v>45986.029692384254</v>
      </c>
      <c r="B943" s="19">
        <v>12.0</v>
      </c>
      <c r="C943" s="19" t="s">
        <v>54</v>
      </c>
      <c r="D943" s="19" t="s">
        <v>35</v>
      </c>
      <c r="E943" s="19">
        <v>23900.0</v>
      </c>
      <c r="F943" s="20">
        <v>2.0</v>
      </c>
      <c r="G943" s="20">
        <v>3.9000000000000004</v>
      </c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18">
        <v>45986.029692384254</v>
      </c>
      <c r="B944" s="19">
        <v>12.0</v>
      </c>
      <c r="C944" s="19" t="s">
        <v>55</v>
      </c>
      <c r="D944" s="19" t="s">
        <v>7</v>
      </c>
      <c r="E944" s="19">
        <v>33700.0</v>
      </c>
      <c r="F944" s="20">
        <v>1.0</v>
      </c>
      <c r="G944" s="6">
        <v>43.7</v>
      </c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18">
        <v>45986.029692384254</v>
      </c>
      <c r="B945" s="19">
        <v>12.0</v>
      </c>
      <c r="C945" s="19" t="s">
        <v>56</v>
      </c>
      <c r="D945" s="19" t="s">
        <v>25</v>
      </c>
      <c r="E945" s="19">
        <v>22600.0</v>
      </c>
      <c r="F945" s="20">
        <v>3.0</v>
      </c>
      <c r="G945" s="20">
        <v>-17.4</v>
      </c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18">
        <v>45986.02937898148</v>
      </c>
      <c r="B946" s="19">
        <v>11.0</v>
      </c>
      <c r="C946" s="19" t="s">
        <v>53</v>
      </c>
      <c r="D946" s="19" t="s">
        <v>7</v>
      </c>
      <c r="E946" s="19">
        <v>4100.0</v>
      </c>
      <c r="F946" s="20">
        <v>4.0</v>
      </c>
      <c r="G946" s="20">
        <v>-45.9</v>
      </c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18">
        <v>45986.02937898148</v>
      </c>
      <c r="B947" s="19">
        <v>11.0</v>
      </c>
      <c r="C947" s="19" t="s">
        <v>54</v>
      </c>
      <c r="D947" s="19" t="s">
        <v>6</v>
      </c>
      <c r="E947" s="19">
        <v>35100.0</v>
      </c>
      <c r="F947" s="20">
        <v>1.0</v>
      </c>
      <c r="G947" s="6">
        <v>45.1</v>
      </c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18">
        <v>45986.02937898148</v>
      </c>
      <c r="B948" s="19">
        <v>11.0</v>
      </c>
      <c r="C948" s="19" t="s">
        <v>55</v>
      </c>
      <c r="D948" s="19" t="s">
        <v>25</v>
      </c>
      <c r="E948" s="19">
        <v>30500.0</v>
      </c>
      <c r="F948" s="20">
        <v>2.0</v>
      </c>
      <c r="G948" s="20">
        <v>10.5</v>
      </c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18">
        <v>45986.02937898148</v>
      </c>
      <c r="B949" s="19">
        <v>11.0</v>
      </c>
      <c r="C949" s="19" t="s">
        <v>56</v>
      </c>
      <c r="D949" s="19" t="s">
        <v>35</v>
      </c>
      <c r="E949" s="19">
        <v>30300.0</v>
      </c>
      <c r="F949" s="20">
        <v>3.0</v>
      </c>
      <c r="G949" s="20">
        <v>-9.7</v>
      </c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18">
        <v>45986.02904414352</v>
      </c>
      <c r="B950" s="19">
        <v>10.0</v>
      </c>
      <c r="C950" s="19" t="s">
        <v>53</v>
      </c>
      <c r="D950" s="19" t="s">
        <v>35</v>
      </c>
      <c r="E950" s="19">
        <v>41100.0</v>
      </c>
      <c r="F950" s="20">
        <v>1.0</v>
      </c>
      <c r="G950" s="6">
        <v>51.1</v>
      </c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18">
        <v>45986.02904414352</v>
      </c>
      <c r="B951" s="19">
        <v>10.0</v>
      </c>
      <c r="C951" s="19" t="s">
        <v>54</v>
      </c>
      <c r="D951" s="19" t="s">
        <v>7</v>
      </c>
      <c r="E951" s="19">
        <v>20500.0</v>
      </c>
      <c r="F951" s="20">
        <v>3.0</v>
      </c>
      <c r="G951" s="20">
        <v>-19.5</v>
      </c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18">
        <v>45986.02904414352</v>
      </c>
      <c r="B952" s="19">
        <v>10.0</v>
      </c>
      <c r="C952" s="19" t="s">
        <v>55</v>
      </c>
      <c r="D952" s="19" t="s">
        <v>6</v>
      </c>
      <c r="E952" s="19">
        <v>39200.0</v>
      </c>
      <c r="F952" s="20">
        <v>2.0</v>
      </c>
      <c r="G952" s="20">
        <v>19.2</v>
      </c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18">
        <v>45986.02904414352</v>
      </c>
      <c r="B953" s="19">
        <v>10.0</v>
      </c>
      <c r="C953" s="19" t="s">
        <v>56</v>
      </c>
      <c r="D953" s="19" t="s">
        <v>25</v>
      </c>
      <c r="E953" s="19">
        <v>-800.0</v>
      </c>
      <c r="F953" s="20">
        <v>4.0</v>
      </c>
      <c r="G953" s="20">
        <v>-50.8</v>
      </c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18">
        <v>45986.02849523148</v>
      </c>
      <c r="B954" s="19">
        <v>9.0</v>
      </c>
      <c r="C954" s="19" t="s">
        <v>53</v>
      </c>
      <c r="D954" s="19" t="s">
        <v>6</v>
      </c>
      <c r="E954" s="19">
        <v>44300.0</v>
      </c>
      <c r="F954" s="20">
        <v>1.0</v>
      </c>
      <c r="G954" s="6">
        <v>54.3</v>
      </c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18">
        <v>45986.02849523148</v>
      </c>
      <c r="B955" s="19">
        <v>9.0</v>
      </c>
      <c r="C955" s="19" t="s">
        <v>54</v>
      </c>
      <c r="D955" s="19" t="s">
        <v>12</v>
      </c>
      <c r="E955" s="19">
        <v>19300.0</v>
      </c>
      <c r="F955" s="20">
        <v>3.0</v>
      </c>
      <c r="G955" s="20">
        <v>-20.7</v>
      </c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18">
        <v>45986.02849523148</v>
      </c>
      <c r="B956" s="19">
        <v>9.0</v>
      </c>
      <c r="C956" s="19" t="s">
        <v>55</v>
      </c>
      <c r="D956" s="19" t="s">
        <v>26</v>
      </c>
      <c r="E956" s="19">
        <v>7800.0</v>
      </c>
      <c r="F956" s="20">
        <v>4.0</v>
      </c>
      <c r="G956" s="20">
        <v>-42.2</v>
      </c>
      <c r="I956" s="6">
        <v>2.0</v>
      </c>
      <c r="J956" s="6">
        <v>1.0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18">
        <v>45986.02849523148</v>
      </c>
      <c r="B957" s="19">
        <v>9.0</v>
      </c>
      <c r="C957" s="19" t="s">
        <v>56</v>
      </c>
      <c r="D957" s="19" t="s">
        <v>27</v>
      </c>
      <c r="E957" s="19">
        <v>28600.0</v>
      </c>
      <c r="F957" s="20">
        <v>2.0</v>
      </c>
      <c r="G957" s="20">
        <v>8.6</v>
      </c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18">
        <v>45986.02823365741</v>
      </c>
      <c r="B958" s="19">
        <v>8.0</v>
      </c>
      <c r="C958" s="19" t="s">
        <v>53</v>
      </c>
      <c r="D958" s="19" t="s">
        <v>6</v>
      </c>
      <c r="E958" s="19">
        <v>27300.0</v>
      </c>
      <c r="F958" s="20">
        <v>2.0</v>
      </c>
      <c r="G958" s="20">
        <v>7.3</v>
      </c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18">
        <v>45986.02823365741</v>
      </c>
      <c r="B959" s="19">
        <v>8.0</v>
      </c>
      <c r="C959" s="19" t="s">
        <v>54</v>
      </c>
      <c r="D959" s="19" t="s">
        <v>12</v>
      </c>
      <c r="E959" s="19">
        <v>26700.0</v>
      </c>
      <c r="F959" s="20">
        <v>3.0</v>
      </c>
      <c r="G959" s="20">
        <v>-13.3</v>
      </c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18">
        <v>45986.02823365741</v>
      </c>
      <c r="B960" s="19">
        <v>8.0</v>
      </c>
      <c r="C960" s="19" t="s">
        <v>55</v>
      </c>
      <c r="D960" s="19" t="s">
        <v>27</v>
      </c>
      <c r="E960" s="19">
        <v>15200.0</v>
      </c>
      <c r="F960" s="20">
        <v>4.0</v>
      </c>
      <c r="G960" s="20">
        <v>-34.8</v>
      </c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18">
        <v>45986.02823365741</v>
      </c>
      <c r="B961" s="19">
        <v>8.0</v>
      </c>
      <c r="C961" s="19" t="s">
        <v>56</v>
      </c>
      <c r="D961" s="19" t="s">
        <v>26</v>
      </c>
      <c r="E961" s="19">
        <v>30800.0</v>
      </c>
      <c r="F961" s="20">
        <v>1.0</v>
      </c>
      <c r="G961" s="6">
        <v>40.8</v>
      </c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18">
        <v>45986.02790364584</v>
      </c>
      <c r="B962" s="19">
        <v>7.0</v>
      </c>
      <c r="C962" s="19" t="s">
        <v>53</v>
      </c>
      <c r="D962" s="19" t="s">
        <v>34</v>
      </c>
      <c r="E962" s="19">
        <v>32000.0</v>
      </c>
      <c r="F962" s="20">
        <v>2.0</v>
      </c>
      <c r="G962" s="20">
        <v>12.0</v>
      </c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18">
        <v>45986.02790364584</v>
      </c>
      <c r="B963" s="19">
        <v>7.0</v>
      </c>
      <c r="C963" s="19" t="s">
        <v>54</v>
      </c>
      <c r="D963" s="19" t="s">
        <v>25</v>
      </c>
      <c r="E963" s="19">
        <v>16900.0</v>
      </c>
      <c r="F963" s="20">
        <v>3.0</v>
      </c>
      <c r="G963" s="20">
        <v>-23.1</v>
      </c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18">
        <v>45986.02790364584</v>
      </c>
      <c r="B964" s="19">
        <v>7.0</v>
      </c>
      <c r="C964" s="19" t="s">
        <v>55</v>
      </c>
      <c r="D964" s="19" t="s">
        <v>32</v>
      </c>
      <c r="E964" s="19">
        <v>13800.0</v>
      </c>
      <c r="F964" s="20">
        <v>4.0</v>
      </c>
      <c r="G964" s="20">
        <v>-36.2</v>
      </c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18">
        <v>45986.02790364584</v>
      </c>
      <c r="B965" s="19">
        <v>7.0</v>
      </c>
      <c r="C965" s="19" t="s">
        <v>56</v>
      </c>
      <c r="D965" s="19" t="s">
        <v>33</v>
      </c>
      <c r="E965" s="19">
        <v>37300.0</v>
      </c>
      <c r="F965" s="20">
        <v>1.0</v>
      </c>
      <c r="G965" s="6">
        <v>47.3</v>
      </c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18">
        <v>45986.027552534724</v>
      </c>
      <c r="B966" s="19">
        <v>6.0</v>
      </c>
      <c r="C966" s="19" t="s">
        <v>53</v>
      </c>
      <c r="D966" s="19" t="s">
        <v>6</v>
      </c>
      <c r="E966" s="19">
        <v>31900.0</v>
      </c>
      <c r="F966" s="20">
        <v>1.0</v>
      </c>
      <c r="G966" s="6">
        <v>41.9</v>
      </c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18">
        <v>45986.027552534724</v>
      </c>
      <c r="B967" s="19">
        <v>6.0</v>
      </c>
      <c r="C967" s="19" t="s">
        <v>54</v>
      </c>
      <c r="D967" s="19" t="s">
        <v>32</v>
      </c>
      <c r="E967" s="19">
        <v>19300.0</v>
      </c>
      <c r="F967" s="20">
        <v>4.0</v>
      </c>
      <c r="G967" s="20">
        <v>-30.7</v>
      </c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18">
        <v>45986.027552534724</v>
      </c>
      <c r="B968" s="19">
        <v>6.0</v>
      </c>
      <c r="C968" s="19" t="s">
        <v>55</v>
      </c>
      <c r="D968" s="19" t="s">
        <v>34</v>
      </c>
      <c r="E968" s="19">
        <v>27700.0</v>
      </c>
      <c r="F968" s="20">
        <v>2.0</v>
      </c>
      <c r="G968" s="20">
        <v>7.7</v>
      </c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18">
        <v>45986.027552534724</v>
      </c>
      <c r="B969" s="19">
        <v>6.0</v>
      </c>
      <c r="C969" s="19" t="s">
        <v>56</v>
      </c>
      <c r="D969" s="19" t="s">
        <v>33</v>
      </c>
      <c r="E969" s="19">
        <v>21100.0</v>
      </c>
      <c r="F969" s="20">
        <v>3.0</v>
      </c>
      <c r="G969" s="20">
        <v>-18.9</v>
      </c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18">
        <v>45985.96847114583</v>
      </c>
      <c r="B970" s="19">
        <v>5.0</v>
      </c>
      <c r="C970" s="19" t="s">
        <v>53</v>
      </c>
      <c r="D970" s="19" t="s">
        <v>33</v>
      </c>
      <c r="E970" s="19">
        <v>20100.0</v>
      </c>
      <c r="F970" s="20">
        <v>3.0</v>
      </c>
      <c r="G970" s="20">
        <v>-19.9</v>
      </c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18">
        <v>45985.96847114583</v>
      </c>
      <c r="B971" s="19">
        <v>5.0</v>
      </c>
      <c r="C971" s="19" t="s">
        <v>54</v>
      </c>
      <c r="D971" s="19" t="s">
        <v>34</v>
      </c>
      <c r="E971" s="19">
        <v>-300.0</v>
      </c>
      <c r="F971" s="20">
        <v>4.0</v>
      </c>
      <c r="G971" s="20">
        <v>-50.3</v>
      </c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18">
        <v>45985.96847114583</v>
      </c>
      <c r="B972" s="19">
        <v>5.0</v>
      </c>
      <c r="C972" s="19" t="s">
        <v>55</v>
      </c>
      <c r="D972" s="19" t="s">
        <v>32</v>
      </c>
      <c r="E972" s="19">
        <v>56600.0</v>
      </c>
      <c r="F972" s="20">
        <v>1.0</v>
      </c>
      <c r="G972" s="6">
        <v>66.6</v>
      </c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18">
        <v>45985.96847114583</v>
      </c>
      <c r="B973" s="19">
        <v>5.0</v>
      </c>
      <c r="C973" s="19" t="s">
        <v>56</v>
      </c>
      <c r="D973" s="19" t="s">
        <v>6</v>
      </c>
      <c r="E973" s="19">
        <v>23600.0</v>
      </c>
      <c r="F973" s="20">
        <v>2.0</v>
      </c>
      <c r="G973" s="20">
        <v>3.5999999999999996</v>
      </c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18">
        <v>45985.9638122801</v>
      </c>
      <c r="B974" s="19">
        <v>4.0</v>
      </c>
      <c r="C974" s="19" t="s">
        <v>53</v>
      </c>
      <c r="D974" s="19" t="s">
        <v>35</v>
      </c>
      <c r="E974" s="19">
        <v>16800.0</v>
      </c>
      <c r="F974" s="20">
        <v>3.0</v>
      </c>
      <c r="G974" s="20">
        <v>-23.2</v>
      </c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18">
        <v>45985.9638122801</v>
      </c>
      <c r="B975" s="19">
        <v>4.0</v>
      </c>
      <c r="C975" s="19" t="s">
        <v>54</v>
      </c>
      <c r="D975" s="19" t="s">
        <v>33</v>
      </c>
      <c r="E975" s="19">
        <v>32500.0</v>
      </c>
      <c r="F975" s="20">
        <v>2.0</v>
      </c>
      <c r="G975" s="20">
        <v>12.5</v>
      </c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18">
        <v>45985.9638122801</v>
      </c>
      <c r="B976" s="19">
        <v>4.0</v>
      </c>
      <c r="C976" s="19" t="s">
        <v>55</v>
      </c>
      <c r="D976" s="19" t="s">
        <v>6</v>
      </c>
      <c r="E976" s="19">
        <v>56700.0</v>
      </c>
      <c r="F976" s="20">
        <v>1.0</v>
      </c>
      <c r="G976" s="6">
        <v>66.7</v>
      </c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18">
        <v>45985.9638122801</v>
      </c>
      <c r="B977" s="19">
        <v>4.0</v>
      </c>
      <c r="C977" s="19" t="s">
        <v>56</v>
      </c>
      <c r="D977" s="19" t="s">
        <v>5</v>
      </c>
      <c r="E977" s="19">
        <v>-6000.0</v>
      </c>
      <c r="F977" s="20">
        <v>4.0</v>
      </c>
      <c r="G977" s="20">
        <v>-56.0</v>
      </c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18">
        <v>45985.95943340278</v>
      </c>
      <c r="B978" s="19">
        <v>3.0</v>
      </c>
      <c r="C978" s="19" t="s">
        <v>53</v>
      </c>
      <c r="D978" s="19" t="s">
        <v>33</v>
      </c>
      <c r="E978" s="19">
        <v>22300.0</v>
      </c>
      <c r="F978" s="20">
        <v>3.0</v>
      </c>
      <c r="G978" s="20">
        <v>-17.7</v>
      </c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18">
        <v>45985.95943340278</v>
      </c>
      <c r="B979" s="19">
        <v>3.0</v>
      </c>
      <c r="C979" s="19" t="s">
        <v>54</v>
      </c>
      <c r="D979" s="19" t="s">
        <v>6</v>
      </c>
      <c r="E979" s="19">
        <v>24400.0</v>
      </c>
      <c r="F979" s="20">
        <v>2.0</v>
      </c>
      <c r="G979" s="20">
        <v>4.4</v>
      </c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18">
        <v>45985.95943340278</v>
      </c>
      <c r="B980" s="19">
        <v>3.0</v>
      </c>
      <c r="C980" s="19" t="s">
        <v>55</v>
      </c>
      <c r="D980" s="19" t="s">
        <v>5</v>
      </c>
      <c r="E980" s="19">
        <v>9700.0</v>
      </c>
      <c r="F980" s="20">
        <v>4.0</v>
      </c>
      <c r="G980" s="20">
        <v>-40.3</v>
      </c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18">
        <v>45985.95943340278</v>
      </c>
      <c r="B981" s="19">
        <v>3.0</v>
      </c>
      <c r="C981" s="19" t="s">
        <v>56</v>
      </c>
      <c r="D981" s="19" t="s">
        <v>35</v>
      </c>
      <c r="E981" s="19">
        <v>43600.0</v>
      </c>
      <c r="F981" s="20">
        <v>1.0</v>
      </c>
      <c r="G981" s="6">
        <v>53.6</v>
      </c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18">
        <v>45985.95553648148</v>
      </c>
      <c r="B982" s="19">
        <v>2.0</v>
      </c>
      <c r="C982" s="19" t="s">
        <v>53</v>
      </c>
      <c r="D982" s="19" t="s">
        <v>5</v>
      </c>
      <c r="E982" s="19">
        <v>40500.0</v>
      </c>
      <c r="F982" s="20">
        <v>1.0</v>
      </c>
      <c r="G982" s="6">
        <v>50.5</v>
      </c>
      <c r="H982" s="6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18">
        <v>45985.95553648148</v>
      </c>
      <c r="B983" s="20">
        <v>2.0</v>
      </c>
      <c r="C983" s="6" t="s">
        <v>54</v>
      </c>
      <c r="D983" s="6" t="s">
        <v>6</v>
      </c>
      <c r="E983" s="20">
        <v>27600.0</v>
      </c>
      <c r="F983" s="20">
        <v>2.0</v>
      </c>
      <c r="G983" s="20">
        <v>7.6</v>
      </c>
      <c r="H983" s="6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18">
        <v>45985.95553648148</v>
      </c>
      <c r="B984" s="20">
        <v>2.0</v>
      </c>
      <c r="C984" s="6" t="s">
        <v>55</v>
      </c>
      <c r="D984" s="6" t="s">
        <v>32</v>
      </c>
      <c r="E984" s="20">
        <v>17700.0</v>
      </c>
      <c r="F984" s="20">
        <v>3.0</v>
      </c>
      <c r="G984" s="20">
        <v>-22.3</v>
      </c>
      <c r="H984" s="6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18">
        <v>45985.95553648148</v>
      </c>
      <c r="B985" s="20">
        <v>2.0</v>
      </c>
      <c r="C985" s="6" t="s">
        <v>56</v>
      </c>
      <c r="D985" s="6" t="s">
        <v>34</v>
      </c>
      <c r="E985" s="20">
        <v>14200.0</v>
      </c>
      <c r="F985" s="20">
        <v>4.0</v>
      </c>
      <c r="G985" s="20">
        <v>-35.8</v>
      </c>
      <c r="H985" s="6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18">
        <v>45985.95407710648</v>
      </c>
      <c r="B986" s="19">
        <v>1.0</v>
      </c>
      <c r="C986" s="19" t="s">
        <v>53</v>
      </c>
      <c r="D986" s="19" t="s">
        <v>5</v>
      </c>
      <c r="E986" s="19">
        <v>55800.0</v>
      </c>
      <c r="F986" s="20">
        <v>1.0</v>
      </c>
      <c r="G986" s="6">
        <v>65.8</v>
      </c>
      <c r="H986" s="6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18">
        <v>45985.95407710648</v>
      </c>
      <c r="B987" s="19">
        <v>1.0</v>
      </c>
      <c r="C987" s="19" t="s">
        <v>54</v>
      </c>
      <c r="D987" s="19" t="s">
        <v>6</v>
      </c>
      <c r="E987" s="19">
        <v>24700.0</v>
      </c>
      <c r="F987" s="20">
        <v>2.0</v>
      </c>
      <c r="G987" s="20">
        <v>4.7</v>
      </c>
      <c r="H987" s="6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18">
        <v>45985.95407710648</v>
      </c>
      <c r="B988" s="19">
        <v>1.0</v>
      </c>
      <c r="C988" s="19" t="s">
        <v>55</v>
      </c>
      <c r="D988" s="19" t="s">
        <v>32</v>
      </c>
      <c r="E988" s="19">
        <v>15500.0</v>
      </c>
      <c r="F988" s="20">
        <v>3.0</v>
      </c>
      <c r="G988" s="20">
        <v>-24.5</v>
      </c>
      <c r="H988" s="6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18">
        <v>45985.95407710648</v>
      </c>
      <c r="B989" s="19">
        <v>1.0</v>
      </c>
      <c r="C989" s="19" t="s">
        <v>56</v>
      </c>
      <c r="D989" s="19" t="s">
        <v>33</v>
      </c>
      <c r="E989" s="19">
        <v>4000.0</v>
      </c>
      <c r="F989" s="20">
        <v>4.0</v>
      </c>
      <c r="G989" s="20">
        <v>-46.0</v>
      </c>
      <c r="H989" s="6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9"/>
      <c r="G990" s="9"/>
      <c r="H990" s="6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9"/>
      <c r="G991" s="9"/>
      <c r="H991" s="6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9"/>
      <c r="G992" s="9"/>
      <c r="H992" s="6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9"/>
      <c r="G993" s="9"/>
      <c r="H993" s="6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9"/>
      <c r="G994" s="9"/>
      <c r="H994" s="6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9"/>
      <c r="G995" s="9"/>
      <c r="H995" s="6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9"/>
      <c r="G996" s="9"/>
      <c r="H996" s="6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9"/>
      <c r="G997" s="9"/>
      <c r="H997" s="6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9"/>
      <c r="G998" s="9"/>
      <c r="H998" s="6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9"/>
      <c r="F999" s="9"/>
      <c r="G999" s="9"/>
      <c r="H999" s="6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9"/>
      <c r="F1000" s="9"/>
      <c r="G1000" s="9"/>
      <c r="H1000" s="6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"/>
      <c r="D1001" s="9"/>
      <c r="E1001" s="9"/>
      <c r="F1001" s="9"/>
      <c r="G1001" s="9"/>
      <c r="H1001" s="6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9"/>
      <c r="B1002" s="9"/>
      <c r="C1002" s="9"/>
      <c r="D1002" s="9"/>
      <c r="E1002" s="9"/>
      <c r="F1002" s="9"/>
      <c r="G1002" s="9"/>
      <c r="H1002" s="6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9"/>
      <c r="B1003" s="9"/>
      <c r="C1003" s="9"/>
      <c r="D1003" s="9"/>
      <c r="E1003" s="9"/>
      <c r="F1003" s="9"/>
      <c r="G1003" s="9"/>
      <c r="H1003" s="6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>
      <c r="A1004" s="9"/>
      <c r="B1004" s="9"/>
      <c r="C1004" s="9"/>
      <c r="D1004" s="9"/>
      <c r="E1004" s="9"/>
      <c r="F1004" s="9"/>
      <c r="G1004" s="9"/>
      <c r="H1004" s="6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>
      <c r="A1005" s="9"/>
      <c r="B1005" s="9"/>
      <c r="C1005" s="9"/>
      <c r="D1005" s="9"/>
      <c r="E1005" s="9"/>
      <c r="F1005" s="9"/>
      <c r="G1005" s="9"/>
      <c r="H1005" s="6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>
      <c r="A1006" s="9"/>
      <c r="B1006" s="9"/>
      <c r="C1006" s="9"/>
      <c r="D1006" s="9"/>
      <c r="E1006" s="9"/>
      <c r="F1006" s="9"/>
      <c r="G1006" s="9"/>
      <c r="H1006" s="6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</row>
    <row r="1317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</row>
    <row r="1318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</row>
    <row r="1319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</row>
    <row r="1320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</row>
    <row r="1321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</row>
    <row r="1322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</row>
    <row r="132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</row>
    <row r="1324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</row>
    <row r="1325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</row>
    <row r="1326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</row>
    <row r="1327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</row>
    <row r="1328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</row>
    <row r="1329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</row>
    <row r="1330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</row>
    <row r="133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</row>
    <row r="1332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</row>
    <row r="133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</row>
    <row r="1334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</row>
    <row r="1335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</row>
    <row r="1336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</row>
    <row r="1337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</row>
    <row r="1338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</row>
    <row r="1339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</row>
    <row r="1340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</row>
    <row r="1341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</row>
    <row r="1342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</row>
    <row r="134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</row>
    <row r="1344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</row>
    <row r="1345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</row>
    <row r="1346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</row>
    <row r="1347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</row>
    <row r="1348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</row>
    <row r="1349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</row>
    <row r="1350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</row>
    <row r="135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</row>
    <row r="1352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</row>
    <row r="135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</row>
    <row r="1354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</row>
    <row r="1355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</row>
    <row r="1356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</row>
    <row r="1357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</row>
    <row r="1358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</row>
    <row r="1359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</row>
    <row r="1360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</row>
    <row r="1361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</row>
    <row r="1362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</row>
    <row r="136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</row>
    <row r="1364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</row>
    <row r="1365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</row>
    <row r="1366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</row>
    <row r="1367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</row>
    <row r="1368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</row>
    <row r="1369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</row>
    <row r="1370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</row>
    <row r="137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</row>
    <row r="1372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</row>
    <row r="137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</row>
    <row r="1374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</row>
    <row r="1375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</row>
    <row r="1376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</row>
    <row r="1377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</row>
    <row r="1378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</row>
    <row r="1379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</row>
    <row r="1380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</row>
    <row r="1381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</row>
    <row r="1382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</row>
    <row r="138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</row>
    <row r="1384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</row>
    <row r="1385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</row>
    <row r="1386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</row>
    <row r="1387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</row>
    <row r="1388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</row>
    <row r="1389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</row>
    <row r="1390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</row>
    <row r="1391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</row>
    <row r="1392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</row>
    <row r="139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</row>
    <row r="1394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</row>
    <row r="1395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</row>
    <row r="1396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</row>
    <row r="1397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</row>
    <row r="1398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</row>
    <row r="1399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</row>
    <row r="1400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</row>
    <row r="1401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</row>
    <row r="1402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</row>
    <row r="1403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</row>
    <row r="1404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</row>
    <row r="1405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</row>
    <row r="1406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</row>
    <row r="1407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</row>
    <row r="1408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</row>
    <row r="1409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</row>
    <row r="1410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</row>
    <row r="1411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</row>
    <row r="1412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</row>
    <row r="1413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</row>
    <row r="1414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</row>
    <row r="1415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</row>
    <row r="1416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</row>
    <row r="1417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</row>
    <row r="1418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</row>
    <row r="1419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</row>
    <row r="1420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</row>
    <row r="1421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</row>
    <row r="1422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</row>
    <row r="1423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</row>
    <row r="1424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</row>
    <row r="1425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</row>
    <row r="1426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</row>
    <row r="1427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</row>
    <row r="1428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</row>
    <row r="1429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</row>
    <row r="1430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</row>
    <row r="1431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</row>
    <row r="1432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</row>
    <row r="1433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</row>
    <row r="1434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</row>
    <row r="1435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</row>
    <row r="1436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</row>
    <row r="1437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</row>
    <row r="1438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</row>
    <row r="1439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</row>
    <row r="1440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</row>
    <row r="1441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</row>
    <row r="1442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</row>
    <row r="1443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</row>
    <row r="1444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</row>
    <row r="1445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</row>
    <row r="1446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</row>
    <row r="1447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</row>
    <row r="1448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</row>
    <row r="1449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</row>
    <row r="1450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</row>
    <row r="1451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</row>
    <row r="1452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</row>
    <row r="1453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</row>
    <row r="1454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</row>
    <row r="1455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</row>
    <row r="1456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</row>
    <row r="1457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</row>
    <row r="1458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</row>
    <row r="1459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</row>
    <row r="1460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</row>
    <row r="1461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</row>
    <row r="1462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</row>
    <row r="1463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</row>
    <row r="1464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</row>
    <row r="1465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</row>
    <row r="1466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</row>
    <row r="1467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</row>
    <row r="1468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</row>
    <row r="1469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</row>
    <row r="1470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</row>
    <row r="1471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</row>
    <row r="1472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</row>
    <row r="1473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</row>
    <row r="1474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</row>
    <row r="1475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</row>
    <row r="1476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</row>
    <row r="1477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</row>
    <row r="1478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</row>
    <row r="1479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</row>
    <row r="1480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</row>
    <row r="1481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</row>
    <row r="1482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</row>
    <row r="148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</row>
    <row r="1484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</row>
    <row r="1485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</row>
    <row r="1486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</row>
    <row r="1487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</row>
    <row r="1488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</row>
    <row r="1489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</row>
    <row r="1490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</row>
    <row r="1491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</row>
    <row r="1492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</row>
    <row r="149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</row>
    <row r="1494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</row>
    <row r="1495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</row>
    <row r="1496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</row>
    <row r="1497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</row>
    <row r="1498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</row>
    <row r="1499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</row>
    <row r="1500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</row>
    <row r="1501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</row>
    <row r="1502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</row>
    <row r="1503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</row>
    <row r="1504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</row>
    <row r="1505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</row>
    <row r="1506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</row>
    <row r="1507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</row>
    <row r="1508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</row>
    <row r="1509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</row>
    <row r="1510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</row>
    <row r="1511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</row>
    <row r="1512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</row>
    <row r="1513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</row>
    <row r="1514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</row>
    <row r="1515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</row>
    <row r="1516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</row>
    <row r="1517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</row>
    <row r="1518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</row>
    <row r="1519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</row>
    <row r="1520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</row>
    <row r="1521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</row>
    <row r="1522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</row>
    <row r="1523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</row>
    <row r="1524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</row>
    <row r="1525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</row>
    <row r="1526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</row>
    <row r="1527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</row>
    <row r="1528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</row>
    <row r="1529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</row>
    <row r="1530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</row>
    <row r="1531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</row>
    <row r="1532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</row>
    <row r="1533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</row>
    <row r="1534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</row>
    <row r="1535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</row>
    <row r="1536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</row>
    <row r="1537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</row>
    <row r="1538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</row>
    <row r="1539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</row>
    <row r="1540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</row>
    <row r="1541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</row>
    <row r="1542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</row>
    <row r="1543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</row>
    <row r="1544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</row>
    <row r="1545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</row>
    <row r="1546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</row>
    <row r="1547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</row>
    <row r="1548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</row>
    <row r="1549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</row>
    <row r="1550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</row>
    <row r="1551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</row>
    <row r="1552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</row>
    <row r="1553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</row>
    <row r="1554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</row>
    <row r="1555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</row>
    <row r="1556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</row>
    <row r="1557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</row>
    <row r="1558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</row>
    <row r="1559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</row>
    <row r="1560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</row>
    <row r="1561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</row>
    <row r="1562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</row>
    <row r="1563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</row>
    <row r="1564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</row>
    <row r="1565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</row>
    <row r="1566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</row>
    <row r="1567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</row>
    <row r="1568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</row>
    <row r="1569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</row>
    <row r="1570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</row>
    <row r="1571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</row>
    <row r="1572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</row>
    <row r="1573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</row>
    <row r="1574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</row>
    <row r="1575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</row>
    <row r="1576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</row>
    <row r="1577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</row>
    <row r="1578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</row>
    <row r="1579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</row>
    <row r="1580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</row>
    <row r="1581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</row>
    <row r="1582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</row>
    <row r="1583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</row>
    <row r="1584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</row>
    <row r="1585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</row>
    <row r="1586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</row>
    <row r="1587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</row>
    <row r="1588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</row>
    <row r="1589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</row>
    <row r="1590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</row>
    <row r="1591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</row>
    <row r="1592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</row>
    <row r="1593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</row>
    <row r="1594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</row>
    <row r="1595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</row>
    <row r="1596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</row>
    <row r="1597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</row>
    <row r="1598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</row>
    <row r="1599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</row>
    <row r="1600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</row>
    <row r="1601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</row>
    <row r="1602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</row>
    <row r="1603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</row>
    <row r="1604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</row>
    <row r="1605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</row>
    <row r="1606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</row>
    <row r="1607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</row>
    <row r="1608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</row>
    <row r="1609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</row>
    <row r="1610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</row>
    <row r="1611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</row>
    <row r="1612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</row>
    <row r="1613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</row>
    <row r="1614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</row>
    <row r="1615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</row>
    <row r="1616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</row>
    <row r="1617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</row>
    <row r="1618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</row>
    <row r="1619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</row>
    <row r="1620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</row>
    <row r="1621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</row>
    <row r="1622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</row>
    <row r="1623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</row>
    <row r="1624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</row>
    <row r="1625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</row>
    <row r="1626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</row>
    <row r="1627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</row>
    <row r="1628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</row>
    <row r="1629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</row>
    <row r="1630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</row>
    <row r="1631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</row>
    <row r="1632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</row>
    <row r="1633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</row>
    <row r="1634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</row>
    <row r="1635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</row>
    <row r="1636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</row>
    <row r="1637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</row>
    <row r="1638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</row>
    <row r="1639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</row>
    <row r="1640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</row>
    <row r="1641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</row>
    <row r="1642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</row>
    <row r="1643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</row>
    <row r="1644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</row>
    <row r="1645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</row>
    <row r="1646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</row>
    <row r="1647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</row>
    <row r="1648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</row>
    <row r="1649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</row>
    <row r="1650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</row>
    <row r="1651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</row>
    <row r="1652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</row>
    <row r="1653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</row>
    <row r="1654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</row>
    <row r="1655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</row>
    <row r="1656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</row>
    <row r="1657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</row>
    <row r="1658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</row>
    <row r="1659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</row>
    <row r="1660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</row>
    <row r="1661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</row>
    <row r="1662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</row>
    <row r="1663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</row>
    <row r="1664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</row>
    <row r="1665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</row>
    <row r="1666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</row>
    <row r="1667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</row>
    <row r="1668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</row>
    <row r="1669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</row>
    <row r="1670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</row>
    <row r="1671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</row>
    <row r="1672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</row>
    <row r="1673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</row>
    <row r="1674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</row>
    <row r="1675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</row>
    <row r="1676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</row>
    <row r="1677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</row>
    <row r="1678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</row>
    <row r="1679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</row>
    <row r="1680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</row>
    <row r="1681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</row>
    <row r="1682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</row>
    <row r="1683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</row>
    <row r="1684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</row>
    <row r="1685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</row>
    <row r="1686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</row>
    <row r="1687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</row>
    <row r="1688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</row>
    <row r="1689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</row>
    <row r="1690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</row>
    <row r="1691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</row>
    <row r="1692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</row>
    <row r="1693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</row>
    <row r="1694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</row>
    <row r="1695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</row>
    <row r="1696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</row>
    <row r="1697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</row>
    <row r="1698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</row>
    <row r="1699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</row>
    <row r="1700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</row>
    <row r="1701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</row>
    <row r="1702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</row>
    <row r="1703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</row>
    <row r="1704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</row>
    <row r="1705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</row>
    <row r="1706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</row>
    <row r="1707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</row>
    <row r="1708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</row>
    <row r="1709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</row>
    <row r="1710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</row>
    <row r="1711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</row>
    <row r="1712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</row>
    <row r="1713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</row>
    <row r="1714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</row>
    <row r="1715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</row>
    <row r="1716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</row>
    <row r="1717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</row>
    <row r="1718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</row>
    <row r="1719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</row>
    <row r="1720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</row>
    <row r="1721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</row>
    <row r="1722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</row>
    <row r="1723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</row>
    <row r="1724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</row>
    <row r="1725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</row>
    <row r="1726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</row>
    <row r="1727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</row>
    <row r="1728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</row>
    <row r="1729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</row>
    <row r="1730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</row>
    <row r="1731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</row>
    <row r="1732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</row>
    <row r="1733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</row>
    <row r="1734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</row>
    <row r="1735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</row>
    <row r="1736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</row>
    <row r="1737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</row>
    <row r="1738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</row>
    <row r="1739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</row>
    <row r="1740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</row>
    <row r="1741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</row>
    <row r="1742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</row>
    <row r="1743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</row>
    <row r="1744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</row>
    <row r="1745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</row>
    <row r="1746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</row>
    <row r="1747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</row>
    <row r="1748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</row>
    <row r="1749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</row>
    <row r="1750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</row>
    <row r="1751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</row>
    <row r="1752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</row>
    <row r="1753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</row>
    <row r="1754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</row>
    <row r="1755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</row>
    <row r="1756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</row>
    <row r="1757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</row>
    <row r="1758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</row>
    <row r="1759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</row>
    <row r="1760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</row>
    <row r="1761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</row>
    <row r="1762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</row>
    <row r="1763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</row>
    <row r="1764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</row>
    <row r="1765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</row>
    <row r="1766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</row>
    <row r="1767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</row>
    <row r="1768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</row>
    <row r="1769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</row>
    <row r="1770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</row>
    <row r="1771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</row>
    <row r="1772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</row>
    <row r="1773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</row>
    <row r="1774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</row>
    <row r="1775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</row>
    <row r="1776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</row>
    <row r="1777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</row>
    <row r="1778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</row>
    <row r="1779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</row>
    <row r="1780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</row>
    <row r="1781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</row>
    <row r="1782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</row>
    <row r="1783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</row>
    <row r="1784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</row>
    <row r="1785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</row>
    <row r="1786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</row>
    <row r="1787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</row>
    <row r="1788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</row>
    <row r="1789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</row>
    <row r="1790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</row>
    <row r="1791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</row>
    <row r="1792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</row>
    <row r="1793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</row>
    <row r="1794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</row>
    <row r="1795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</row>
    <row r="1796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</row>
    <row r="1797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</row>
    <row r="1798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</row>
    <row r="1799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</row>
    <row r="1800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</row>
    <row r="1801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</row>
    <row r="1802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</row>
    <row r="1803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</row>
    <row r="1804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</row>
    <row r="1805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</row>
    <row r="1806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</row>
    <row r="1807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</row>
    <row r="1808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</row>
    <row r="1809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</row>
    <row r="1810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</row>
    <row r="1811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</row>
    <row r="1812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</row>
    <row r="1813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</row>
    <row r="1814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</row>
    <row r="1815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</row>
    <row r="1816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</row>
    <row r="1817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</row>
    <row r="1818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</row>
    <row r="1819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</row>
    <row r="1820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</row>
    <row r="1821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</row>
    <row r="1822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</row>
    <row r="1823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</row>
    <row r="1824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</row>
    <row r="1825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</row>
    <row r="1826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</row>
    <row r="1827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</row>
    <row r="1828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</row>
    <row r="1829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</row>
    <row r="1830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</row>
    <row r="1831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</row>
    <row r="1832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</row>
    <row r="1833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</row>
    <row r="1834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</row>
    <row r="1835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</row>
    <row r="1836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</row>
    <row r="1837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</row>
    <row r="1838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</row>
    <row r="1839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</row>
    <row r="1840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</row>
    <row r="1841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</row>
    <row r="1842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</row>
    <row r="1843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</row>
    <row r="1844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</row>
    <row r="1845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</row>
    <row r="1846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</row>
    <row r="1847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</row>
    <row r="1848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</row>
    <row r="1849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</row>
    <row r="1850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</row>
    <row r="1851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</row>
    <row r="1852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</row>
    <row r="1853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</row>
    <row r="1854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</row>
    <row r="1855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</row>
    <row r="1856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</row>
    <row r="1857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</row>
    <row r="1858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</row>
    <row r="1859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</row>
    <row r="1860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</row>
    <row r="1861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</row>
    <row r="1862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</row>
    <row r="1863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</row>
    <row r="1864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</row>
    <row r="1865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</row>
    <row r="1866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</row>
    <row r="1867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</row>
    <row r="1868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</row>
    <row r="1869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</row>
    <row r="1870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</row>
    <row r="1871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</row>
    <row r="1872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</row>
    <row r="1873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</row>
    <row r="1874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</row>
    <row r="1875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</row>
    <row r="1876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</row>
    <row r="1877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</row>
    <row r="1878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</row>
    <row r="1879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</row>
    <row r="1880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</row>
    <row r="1881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</row>
    <row r="1882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</row>
    <row r="1883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</row>
    <row r="1884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</row>
    <row r="1885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</row>
    <row r="1886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</row>
    <row r="1887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</row>
    <row r="1888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</row>
    <row r="1889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</row>
    <row r="1890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</row>
    <row r="1891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</row>
    <row r="1892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</row>
    <row r="1893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</row>
    <row r="1894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</row>
    <row r="1895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</row>
    <row r="1896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</row>
    <row r="1897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</row>
    <row r="1898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</row>
    <row r="1899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</row>
    <row r="1900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</row>
    <row r="1901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</row>
    <row r="1902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</row>
    <row r="1903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</row>
    <row r="1904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</row>
    <row r="1905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</row>
    <row r="1906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</row>
    <row r="1907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</row>
    <row r="1908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</row>
    <row r="1909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</row>
    <row r="1910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</row>
    <row r="1911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</row>
    <row r="1912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</row>
    <row r="1913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</row>
    <row r="1914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</row>
    <row r="1915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</row>
    <row r="1916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</row>
    <row r="1917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</row>
    <row r="1918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</row>
    <row r="1919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</row>
    <row r="1920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</row>
    <row r="1921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</row>
    <row r="1922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</row>
    <row r="1923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</row>
    <row r="1924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</row>
    <row r="1925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</row>
    <row r="1926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</row>
    <row r="1927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</row>
    <row r="1928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</row>
    <row r="1929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</row>
    <row r="1930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</row>
    <row r="1931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</row>
    <row r="1932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</row>
    <row r="1933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</row>
    <row r="1934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</row>
    <row r="1935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</row>
    <row r="1936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</row>
    <row r="1937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</row>
    <row r="1938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</row>
    <row r="1939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</row>
    <row r="1940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</row>
    <row r="1941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</row>
    <row r="1942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</row>
    <row r="1943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</row>
    <row r="1944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</row>
    <row r="1945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</row>
    <row r="1946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</row>
    <row r="1947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</row>
    <row r="1948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</row>
    <row r="1949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</row>
    <row r="1950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</row>
    <row r="1951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</row>
    <row r="1952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</row>
    <row r="1953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</row>
    <row r="1954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</row>
    <row r="1955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</row>
    <row r="1956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</row>
    <row r="1957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</row>
    <row r="1958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</row>
    <row r="1959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</row>
    <row r="1960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</row>
    <row r="1961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</row>
    <row r="1962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</row>
    <row r="1963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</row>
    <row r="1964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</row>
    <row r="1965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</row>
    <row r="1966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</row>
    <row r="1967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</row>
    <row r="1968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</row>
    <row r="1969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</row>
    <row r="1970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</row>
    <row r="1971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</row>
    <row r="1972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</row>
    <row r="1973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</row>
    <row r="1974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</row>
    <row r="1975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</row>
    <row r="1976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</row>
  </sheetData>
  <autoFilter ref="$A$1:$F$98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sheetData>
    <row r="1">
      <c r="A1" s="21" t="s">
        <v>62</v>
      </c>
      <c r="B1" s="22"/>
      <c r="C1" s="22" t="s">
        <v>53</v>
      </c>
      <c r="D1" s="22" t="s">
        <v>54</v>
      </c>
      <c r="E1" s="22" t="s">
        <v>55</v>
      </c>
      <c r="F1" s="22" t="s">
        <v>56</v>
      </c>
      <c r="G1" s="22"/>
      <c r="H1" s="22"/>
      <c r="I1" s="22"/>
      <c r="J1" s="22"/>
      <c r="K1" s="22"/>
      <c r="L1" s="22"/>
      <c r="M1" s="22"/>
      <c r="N1" s="22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>
      <c r="A2" s="24" t="s">
        <v>63</v>
      </c>
      <c r="B2" s="25" t="s">
        <v>64</v>
      </c>
      <c r="C2" s="26">
        <f>IFERROR(AVERAGEIF('기록'!$C:$C, $C$1, '기록'!$F:$F), "-")</f>
        <v>2.516393443</v>
      </c>
      <c r="D2" s="26">
        <f>IFERROR(AVERAGEIF('기록'!$C:$C, $D$1, '기록'!$F:$F), "-")</f>
        <v>2.504098361</v>
      </c>
      <c r="E2" s="26">
        <f>IFERROR(AVERAGEIF('기록'!$C:$C, $E$1, '기록'!$F:$F), "-")</f>
        <v>2.43852459</v>
      </c>
      <c r="F2" s="26">
        <f>IFERROR(AVERAGEIF('기록'!$C:$C, $F$1, '기록'!$F:$F), "-")</f>
        <v>2.540983607</v>
      </c>
      <c r="G2" s="22"/>
      <c r="H2" s="22"/>
      <c r="I2" s="22"/>
      <c r="J2" s="22"/>
      <c r="K2" s="22"/>
      <c r="L2" s="22"/>
      <c r="M2" s="22"/>
      <c r="N2" s="22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>
      <c r="A3" s="25"/>
      <c r="B3" s="25" t="s">
        <v>65</v>
      </c>
      <c r="C3" s="27">
        <f>IFERROR(AVERAGEIF('기록'!$C:$C, $C$1, '기록'!$G:$G), "-")</f>
        <v>-0.8954918033</v>
      </c>
      <c r="D3" s="27">
        <f>IFERROR(AVERAGEIF('기록'!$C:$C, $D$1, '기록'!$G:$G), "-")</f>
        <v>0.9024590164</v>
      </c>
      <c r="E3" s="27">
        <f>IFERROR(AVERAGEIF('기록'!$C:$C, $E$1, '기록'!$G:$G), "-")</f>
        <v>1.823360656</v>
      </c>
      <c r="F3" s="27">
        <f>IFERROR(AVERAGEIF('기록'!$C:$C, $F$1, '기록'!$G:$G), "-")</f>
        <v>-1.830327869</v>
      </c>
      <c r="G3" s="22"/>
      <c r="H3" s="22"/>
      <c r="I3" s="22"/>
      <c r="J3" s="22"/>
      <c r="K3" s="22"/>
      <c r="L3" s="22"/>
      <c r="M3" s="22"/>
      <c r="N3" s="22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>
      <c r="A4" s="25"/>
      <c r="B4" s="25" t="s">
        <v>66</v>
      </c>
      <c r="C4" s="28">
        <f>SUMIF('기록'!$C:$C, $C$1, '기록'!$G:$G)</f>
        <v>-218.5</v>
      </c>
      <c r="D4" s="28">
        <f>SUMIF('기록'!$C:$C, $D$1, '기록'!$G:$G)</f>
        <v>220.2</v>
      </c>
      <c r="E4" s="28">
        <f>SUMIF('기록'!$C:$C, $E$1, '기록'!$G:$G)</f>
        <v>444.9</v>
      </c>
      <c r="F4" s="28">
        <f>SUMIF('기록'!$C:$C, $F$1, '기록'!$G:$G)</f>
        <v>-446.6</v>
      </c>
      <c r="G4" s="22"/>
      <c r="H4" s="22"/>
      <c r="I4" s="22"/>
      <c r="J4" s="22"/>
      <c r="K4" s="22"/>
      <c r="L4" s="22"/>
      <c r="M4" s="22"/>
      <c r="N4" s="22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>
      <c r="A5" s="29"/>
      <c r="B5" s="30"/>
      <c r="C5" s="31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>
      <c r="A6" s="29"/>
      <c r="B6" s="30"/>
      <c r="C6" s="31" t="str">
        <f t="array" ref="C6:ALF6">TRANSPOSE('플레이어'!A1:A1007)</f>
        <v>조연</v>
      </c>
      <c r="D6" s="22" t="s">
        <v>6</v>
      </c>
      <c r="E6" s="22" t="s">
        <v>7</v>
      </c>
      <c r="F6" s="22" t="s">
        <v>8</v>
      </c>
      <c r="G6" s="22" t="s">
        <v>9</v>
      </c>
      <c r="H6" s="22" t="s">
        <v>10</v>
      </c>
      <c r="I6" s="22" t="s">
        <v>11</v>
      </c>
      <c r="J6" s="22" t="s">
        <v>12</v>
      </c>
      <c r="K6" s="22" t="s">
        <v>13</v>
      </c>
      <c r="L6" s="22" t="s">
        <v>14</v>
      </c>
      <c r="M6" s="22" t="s">
        <v>15</v>
      </c>
      <c r="N6" s="22" t="s">
        <v>16</v>
      </c>
      <c r="O6" s="23" t="s">
        <v>17</v>
      </c>
      <c r="P6" s="23" t="s">
        <v>18</v>
      </c>
      <c r="Q6" s="23" t="s">
        <v>19</v>
      </c>
      <c r="R6" s="23" t="s">
        <v>20</v>
      </c>
      <c r="S6" s="23" t="s">
        <v>21</v>
      </c>
      <c r="T6" s="23" t="s">
        <v>22</v>
      </c>
      <c r="U6" s="23" t="s">
        <v>23</v>
      </c>
      <c r="V6" s="23" t="s">
        <v>24</v>
      </c>
      <c r="W6" s="23" t="s">
        <v>25</v>
      </c>
      <c r="X6" s="23" t="s">
        <v>26</v>
      </c>
      <c r="Y6" s="23" t="s">
        <v>27</v>
      </c>
      <c r="Z6" s="23" t="s">
        <v>28</v>
      </c>
      <c r="AA6" s="23" t="s">
        <v>29</v>
      </c>
      <c r="AB6" s="23" t="s">
        <v>30</v>
      </c>
      <c r="AC6" s="23" t="s">
        <v>31</v>
      </c>
      <c r="AD6" s="23" t="s">
        <v>32</v>
      </c>
      <c r="AE6" s="23" t="s">
        <v>33</v>
      </c>
      <c r="AF6" s="23" t="s">
        <v>34</v>
      </c>
      <c r="AG6" s="23" t="s">
        <v>35</v>
      </c>
      <c r="AH6" s="23" t="s">
        <v>36</v>
      </c>
      <c r="AI6" s="23" t="s">
        <v>37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>
      <c r="A7" s="22" t="s">
        <v>67</v>
      </c>
      <c r="B7" s="22" t="s">
        <v>68</v>
      </c>
      <c r="C7" s="32">
        <f>IFERROR(__xludf.DUMMYFUNCTION("IF(C$6="""", """", IFERROR(ROWS(FILTER('기록'!$A:$A, ('기록'!$D:$D=C$6) * (IF($A$2=""전체"", TRUE, (YEAR('기록'!$A:$A)&amp;"""")=$A$2)))), 0))"),20.0)</f>
        <v>20</v>
      </c>
      <c r="D7" s="32">
        <f>IFERROR(__xludf.DUMMYFUNCTION("IF(D$6="""", """", IFERROR(ROWS(FILTER('기록'!$A:$A, ('기록'!$D:$D=D$6) * (IF($A$2=""전체"", TRUE, (YEAR('기록'!$A:$A)&amp;"""")=$A$2)))), 0))"),48.0)</f>
        <v>48</v>
      </c>
      <c r="E7" s="32">
        <f>IFERROR(__xludf.DUMMYFUNCTION("IF(E$6="""", """", IFERROR(ROWS(FILTER('기록'!$A:$A, ('기록'!$D:$D=E$6) * (IF($A$2=""전체"", TRUE, (YEAR('기록'!$A:$A)&amp;"""")=$A$2)))), 0))"),19.0)</f>
        <v>19</v>
      </c>
      <c r="F7" s="32">
        <f>IFERROR(__xludf.DUMMYFUNCTION("IF(F$6="""", """", IFERROR(ROWS(FILTER('기록'!$A:$A, ('기록'!$D:$D=F$6) * (IF($A$2=""전체"", TRUE, (YEAR('기록'!$A:$A)&amp;"""")=$A$2)))), 0))"),28.0)</f>
        <v>28</v>
      </c>
      <c r="G7" s="32">
        <f>IFERROR(__xludf.DUMMYFUNCTION("IF(G$6="""", """", IFERROR(ROWS(FILTER('기록'!$A:$A, ('기록'!$D:$D=G$6) * (IF($A$2=""전체"", TRUE, (YEAR('기록'!$A:$A)&amp;"""")=$A$2)))), 0))"),19.0)</f>
        <v>19</v>
      </c>
      <c r="H7" s="32">
        <f>IFERROR(__xludf.DUMMYFUNCTION("IF(H$6="""", """", IFERROR(ROWS(FILTER('기록'!$A:$A, ('기록'!$D:$D=H$6) * (IF($A$2=""전체"", TRUE, (YEAR('기록'!$A:$A)&amp;"""")=$A$2)))), 0))"),10.0)</f>
        <v>10</v>
      </c>
      <c r="I7" s="32">
        <f>IFERROR(__xludf.DUMMYFUNCTION("IF(I$6="""", """", IFERROR(ROWS(FILTER('기록'!$A:$A, ('기록'!$D:$D=I$6) * (IF($A$2=""전체"", TRUE, (YEAR('기록'!$A:$A)&amp;"""")=$A$2)))), 0))"),7.0)</f>
        <v>7</v>
      </c>
      <c r="J7" s="32">
        <f>IFERROR(__xludf.DUMMYFUNCTION("IF(J$6="""", """", IFERROR(ROWS(FILTER('기록'!$A:$A, ('기록'!$D:$D=J$6) * (IF($A$2=""전체"", TRUE, (YEAR('기록'!$A:$A)&amp;"""")=$A$2)))), 0))"),0.0)</f>
        <v>0</v>
      </c>
      <c r="K7" s="32">
        <f>IFERROR(__xludf.DUMMYFUNCTION("IF(K$6="""", """", IFERROR(ROWS(FILTER('기록'!$A:$A, ('기록'!$D:$D=K$6) * (IF($A$2=""전체"", TRUE, (YEAR('기록'!$A:$A)&amp;"""")=$A$2)))), 0))"),7.0)</f>
        <v>7</v>
      </c>
      <c r="L7" s="32">
        <f>IFERROR(__xludf.DUMMYFUNCTION("IF(L$6="""", """", IFERROR(ROWS(FILTER('기록'!$A:$A, ('기록'!$D:$D=L$6) * (IF($A$2=""전체"", TRUE, (YEAR('기록'!$A:$A)&amp;"""")=$A$2)))), 0))"),17.0)</f>
        <v>17</v>
      </c>
      <c r="M7" s="32">
        <f>IFERROR(__xludf.DUMMYFUNCTION("IF(M$6="""", """", IFERROR(ROWS(FILTER('기록'!$A:$A, ('기록'!$D:$D=M$6) * (IF($A$2=""전체"", TRUE, (YEAR('기록'!$A:$A)&amp;"""")=$A$2)))), 0))"),37.0)</f>
        <v>37</v>
      </c>
      <c r="N7" s="32">
        <f>IFERROR(__xludf.DUMMYFUNCTION("IF(N$6="""", """", IFERROR(ROWS(FILTER('기록'!$A:$A, ('기록'!$D:$D=N$6) * (IF($A$2=""전체"", TRUE, (YEAR('기록'!$A:$A)&amp;"""")=$A$2)))), 0))"),0.0)</f>
        <v>0</v>
      </c>
      <c r="O7" s="32">
        <f>IFERROR(__xludf.DUMMYFUNCTION("IF(O$6="""", """", IFERROR(ROWS(FILTER('기록'!$A:$A, ('기록'!$D:$D=O$6) * (IF($A$2=""전체"", TRUE, (YEAR('기록'!$A:$A)&amp;"""")=$A$2)))), 0))"),5.0)</f>
        <v>5</v>
      </c>
      <c r="P7" s="32">
        <f>IFERROR(__xludf.DUMMYFUNCTION("IF(P$6="""", """", IFERROR(ROWS(FILTER('기록'!$A:$A, ('기록'!$D:$D=P$6) * (IF($A$2=""전체"", TRUE, (YEAR('기록'!$A:$A)&amp;"""")=$A$2)))), 0))"),0.0)</f>
        <v>0</v>
      </c>
      <c r="Q7" s="32">
        <f>IFERROR(__xludf.DUMMYFUNCTION("IF(Q$6="""", """", IFERROR(ROWS(FILTER('기록'!$A:$A, ('기록'!$D:$D=Q$6) * (IF($A$2=""전체"", TRUE, (YEAR('기록'!$A:$A)&amp;"""")=$A$2)))), 0))"),0.0)</f>
        <v>0</v>
      </c>
      <c r="R7" s="32">
        <f>IFERROR(__xludf.DUMMYFUNCTION("IF(R$6="""", """", IFERROR(ROWS(FILTER('기록'!$A:$A, ('기록'!$D:$D=R$6) * (IF($A$2=""전체"", TRUE, (YEAR('기록'!$A:$A)&amp;"""")=$A$2)))), 0))"),0.0)</f>
        <v>0</v>
      </c>
      <c r="S7" s="32">
        <f>IFERROR(__xludf.DUMMYFUNCTION("IF(S$6="""", """", IFERROR(ROWS(FILTER('기록'!$A:$A, ('기록'!$D:$D=S$6) * (IF($A$2=""전체"", TRUE, (YEAR('기록'!$A:$A)&amp;"""")=$A$2)))), 0))"),0.0)</f>
        <v>0</v>
      </c>
      <c r="T7" s="32">
        <f>IFERROR(__xludf.DUMMYFUNCTION("IF(T$6="""", """", IFERROR(ROWS(FILTER('기록'!$A:$A, ('기록'!$D:$D=T$6) * (IF($A$2=""전체"", TRUE, (YEAR('기록'!$A:$A)&amp;"""")=$A$2)))), 0))"),0.0)</f>
        <v>0</v>
      </c>
      <c r="U7" s="32">
        <f>IFERROR(__xludf.DUMMYFUNCTION("IF(U$6="""", """", IFERROR(ROWS(FILTER('기록'!$A:$A, ('기록'!$D:$D=U$6) * (IF($A$2=""전체"", TRUE, (YEAR('기록'!$A:$A)&amp;"""")=$A$2)))), 0))"),0.0)</f>
        <v>0</v>
      </c>
      <c r="V7" s="32">
        <f>IFERROR(__xludf.DUMMYFUNCTION("IF(V$6="""", """", IFERROR(ROWS(FILTER('기록'!$A:$A, ('기록'!$D:$D=V$6) * (IF($A$2=""전체"", TRUE, (YEAR('기록'!$A:$A)&amp;"""")=$A$2)))), 0))"),12.0)</f>
        <v>12</v>
      </c>
      <c r="W7" s="32">
        <f>IFERROR(__xludf.DUMMYFUNCTION("IF(W$6="""", """", IFERROR(ROWS(FILTER('기록'!$A:$A, ('기록'!$D:$D=W$6) * (IF($A$2=""전체"", TRUE, (YEAR('기록'!$A:$A)&amp;"""")=$A$2)))), 0))"),0.0)</f>
        <v>0</v>
      </c>
      <c r="X7" s="32">
        <f>IFERROR(__xludf.DUMMYFUNCTION("IF(X$6="""", """", IFERROR(ROWS(FILTER('기록'!$A:$A, ('기록'!$D:$D=X$6) * (IF($A$2=""전체"", TRUE, (YEAR('기록'!$A:$A)&amp;"""")=$A$2)))), 0))"),0.0)</f>
        <v>0</v>
      </c>
      <c r="Y7" s="32">
        <f>IFERROR(__xludf.DUMMYFUNCTION("IF(Y$6="""", """", IFERROR(ROWS(FILTER('기록'!$A:$A, ('기록'!$D:$D=Y$6) * (IF($A$2=""전체"", TRUE, (YEAR('기록'!$A:$A)&amp;"""")=$A$2)))), 0))"),0.0)</f>
        <v>0</v>
      </c>
      <c r="Z7" s="32">
        <f>IFERROR(__xludf.DUMMYFUNCTION("IF(Z$6="""", """", IFERROR(ROWS(FILTER('기록'!$A:$A, ('기록'!$D:$D=Z$6) * (IF($A$2=""전체"", TRUE, (YEAR('기록'!$A:$A)&amp;"""")=$A$2)))), 0))"),0.0)</f>
        <v>0</v>
      </c>
      <c r="AA7" s="32">
        <f>IFERROR(__xludf.DUMMYFUNCTION("IF(AA$6="""", """", IFERROR(ROWS(FILTER('기록'!$A:$A, ('기록'!$D:$D=AA$6) * (IF($A$2=""전체"", TRUE, (YEAR('기록'!$A:$A)&amp;"""")=$A$2)))), 0))"),0.0)</f>
        <v>0</v>
      </c>
      <c r="AB7" s="32">
        <f>IFERROR(__xludf.DUMMYFUNCTION("IF(AB$6="""", """", IFERROR(ROWS(FILTER('기록'!$A:$A, ('기록'!$D:$D=AB$6) * (IF($A$2=""전체"", TRUE, (YEAR('기록'!$A:$A)&amp;"""")=$A$2)))), 0))"),0.0)</f>
        <v>0</v>
      </c>
      <c r="AC7" s="32">
        <f>IFERROR(__xludf.DUMMYFUNCTION("IF(AC$6="""", """", IFERROR(ROWS(FILTER('기록'!$A:$A, ('기록'!$D:$D=AC$6) * (IF($A$2=""전체"", TRUE, (YEAR('기록'!$A:$A)&amp;"""")=$A$2)))), 0))"),9.0)</f>
        <v>9</v>
      </c>
      <c r="AD7" s="32">
        <f>IFERROR(__xludf.DUMMYFUNCTION("IF(AD$6="""", """", IFERROR(ROWS(FILTER('기록'!$A:$A, ('기록'!$D:$D=AD$6) * (IF($A$2=""전체"", TRUE, (YEAR('기록'!$A:$A)&amp;"""")=$A$2)))), 0))"),0.0)</f>
        <v>0</v>
      </c>
      <c r="AE7" s="32">
        <f>IFERROR(__xludf.DUMMYFUNCTION("IF(AE$6="""", """", IFERROR(ROWS(FILTER('기록'!$A:$A, ('기록'!$D:$D=AE$6) * (IF($A$2=""전체"", TRUE, (YEAR('기록'!$A:$A)&amp;"""")=$A$2)))), 0))"),0.0)</f>
        <v>0</v>
      </c>
      <c r="AF7" s="32">
        <f>IFERROR(__xludf.DUMMYFUNCTION("IF(AF$6="""", """", IFERROR(ROWS(FILTER('기록'!$A:$A, ('기록'!$D:$D=AF$6) * (IF($A$2=""전체"", TRUE, (YEAR('기록'!$A:$A)&amp;"""")=$A$2)))), 0))"),0.0)</f>
        <v>0</v>
      </c>
      <c r="AG7" s="32">
        <f>IFERROR(__xludf.DUMMYFUNCTION("IF(AG$6="""", """", IFERROR(ROWS(FILTER('기록'!$A:$A, ('기록'!$D:$D=AG$6) * (IF($A$2=""전체"", TRUE, (YEAR('기록'!$A:$A)&amp;"""")=$A$2)))), 0))"),8.0)</f>
        <v>8</v>
      </c>
      <c r="AH7" s="32">
        <f>IFERROR(__xludf.DUMMYFUNCTION("IF(AH$6="""", """", IFERROR(ROWS(FILTER('기록'!$A:$A, ('기록'!$D:$D=AH$6) * (IF($A$2=""전체"", TRUE, (YEAR('기록'!$A:$A)&amp;"""")=$A$2)))), 0))"),12.0)</f>
        <v>12</v>
      </c>
      <c r="AI7" s="32">
        <f>IFERROR(__xludf.DUMMYFUNCTION("IF(AI$6="""", """", IFERROR(ROWS(FILTER('기록'!$A:$A, ('기록'!$D:$D=AI$6) * (IF($A$2=""전체"", TRUE, (YEAR('기록'!$A:$A)&amp;"""")=$A$2)))), 0))"),6.0)</f>
        <v>6</v>
      </c>
      <c r="AJ7" s="33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</row>
    <row r="8">
      <c r="A8" s="34">
        <f>MAX('기록'!B:B)</f>
        <v>253</v>
      </c>
      <c r="B8" s="35" t="s">
        <v>69</v>
      </c>
      <c r="C8" s="36">
        <f>IFERROR(__xludf.DUMMYFUNCTION("IF(C$6="""", """", IFERROR(ROWS(FILTER('기록'!$F:$F, ('기록'!$D:$D=C$6) * ('기록'!$F:$F=1) * (IF($A$2=""전체"", TRUE, (YEAR('기록'!$A:$A)&amp;"""")=$A$2)))) / C$7, ""-""))"),0.2)</f>
        <v>0.2</v>
      </c>
      <c r="D8" s="36">
        <f>IFERROR(__xludf.DUMMYFUNCTION("IF(D$6="""", """", IFERROR(ROWS(FILTER('기록'!$F:$F, ('기록'!$D:$D=D$6) * ('기록'!$F:$F=1) * (IF($A$2=""전체"", TRUE, (YEAR('기록'!$A:$A)&amp;"""")=$A$2)))) / D$7, ""-""))"),0.3333333333333333)</f>
        <v>0.3333333333</v>
      </c>
      <c r="E8" s="36">
        <f>IFERROR(__xludf.DUMMYFUNCTION("IF(E$6="""", """", IFERROR(ROWS(FILTER('기록'!$F:$F, ('기록'!$D:$D=E$6) * ('기록'!$F:$F=1) * (IF($A$2=""전체"", TRUE, (YEAR('기록'!$A:$A)&amp;"""")=$A$2)))) / E$7, ""-""))"),0.2631578947368421)</f>
        <v>0.2631578947</v>
      </c>
      <c r="F8" s="36">
        <f>IFERROR(__xludf.DUMMYFUNCTION("IF(F$6="""", """", IFERROR(ROWS(FILTER('기록'!$F:$F, ('기록'!$D:$D=F$6) * ('기록'!$F:$F=1) * (IF($A$2=""전체"", TRUE, (YEAR('기록'!$A:$A)&amp;"""")=$A$2)))) / F$7, ""-""))"),0.17857142857142858)</f>
        <v>0.1785714286</v>
      </c>
      <c r="G8" s="36">
        <f>IFERROR(__xludf.DUMMYFUNCTION("IF(G$6="""", """", IFERROR(ROWS(FILTER('기록'!$F:$F, ('기록'!$D:$D=G$6) * ('기록'!$F:$F=1) * (IF($A$2=""전체"", TRUE, (YEAR('기록'!$A:$A)&amp;"""")=$A$2)))) / G$7, ""-""))"),0.10526315789473684)</f>
        <v>0.1052631579</v>
      </c>
      <c r="H8" s="36">
        <f>IFERROR(__xludf.DUMMYFUNCTION("IF(H$6="""", """", IFERROR(ROWS(FILTER('기록'!$F:$F, ('기록'!$D:$D=H$6) * ('기록'!$F:$F=1) * (IF($A$2=""전체"", TRUE, (YEAR('기록'!$A:$A)&amp;"""")=$A$2)))) / H$7, ""-""))"),0.2)</f>
        <v>0.2</v>
      </c>
      <c r="I8" s="36">
        <f>IFERROR(__xludf.DUMMYFUNCTION("IF(I$6="""", """", IFERROR(ROWS(FILTER('기록'!$F:$F, ('기록'!$D:$D=I$6) * ('기록'!$F:$F=1) * (IF($A$2=""전체"", TRUE, (YEAR('기록'!$A:$A)&amp;"""")=$A$2)))) / I$7, ""-""))"),0.42857142857142855)</f>
        <v>0.4285714286</v>
      </c>
      <c r="J8" s="36" t="str">
        <f>IFERROR(__xludf.DUMMYFUNCTION("IF(J$6="""", """", IFERROR(ROWS(FILTER('기록'!$F:$F, ('기록'!$D:$D=J$6) * ('기록'!$F:$F=1) * (IF($A$2=""전체"", TRUE, (YEAR('기록'!$A:$A)&amp;"""")=$A$2)))) / J$7, ""-""))"),"-")</f>
        <v>-</v>
      </c>
      <c r="K8" s="36">
        <f>IFERROR(__xludf.DUMMYFUNCTION("IF(K$6="""", """", IFERROR(ROWS(FILTER('기록'!$F:$F, ('기록'!$D:$D=K$6) * ('기록'!$F:$F=1) * (IF($A$2=""전체"", TRUE, (YEAR('기록'!$A:$A)&amp;"""")=$A$2)))) / K$7, ""-""))"),0.2857142857142857)</f>
        <v>0.2857142857</v>
      </c>
      <c r="L8" s="36">
        <f>IFERROR(__xludf.DUMMYFUNCTION("IF(L$6="""", """", IFERROR(ROWS(FILTER('기록'!$F:$F, ('기록'!$D:$D=L$6) * ('기록'!$F:$F=1) * (IF($A$2=""전체"", TRUE, (YEAR('기록'!$A:$A)&amp;"""")=$A$2)))) / L$7, ""-""))"),0.4117647058823529)</f>
        <v>0.4117647059</v>
      </c>
      <c r="M8" s="36">
        <f>IFERROR(__xludf.DUMMYFUNCTION("IF(M$6="""", """", IFERROR(ROWS(FILTER('기록'!$F:$F, ('기록'!$D:$D=M$6) * ('기록'!$F:$F=1) * (IF($A$2=""전체"", TRUE, (YEAR('기록'!$A:$A)&amp;"""")=$A$2)))) / M$7, ""-""))"),0.35135135135135137)</f>
        <v>0.3513513514</v>
      </c>
      <c r="N8" s="36" t="str">
        <f>IFERROR(__xludf.DUMMYFUNCTION("IF(N$6="""", """", IFERROR(ROWS(FILTER('기록'!$F:$F, ('기록'!$D:$D=N$6) * ('기록'!$F:$F=1) * (IF($A$2=""전체"", TRUE, (YEAR('기록'!$A:$A)&amp;"""")=$A$2)))) / N$7, ""-""))"),"-")</f>
        <v>-</v>
      </c>
      <c r="O8" s="36" t="str">
        <f>IFERROR(__xludf.DUMMYFUNCTION("IF(O$6="""", """", IFERROR(ROWS(FILTER('기록'!$F:$F, ('기록'!$D:$D=O$6) * ('기록'!$F:$F=1) * (IF($A$2=""전체"", TRUE, (YEAR('기록'!$A:$A)&amp;"""")=$A$2)))) / O$7, ""-""))"),"-")</f>
        <v>-</v>
      </c>
      <c r="P8" s="36" t="str">
        <f>IFERROR(__xludf.DUMMYFUNCTION("IF(P$6="""", """", IFERROR(ROWS(FILTER('기록'!$F:$F, ('기록'!$D:$D=P$6) * ('기록'!$F:$F=1) * (IF($A$2=""전체"", TRUE, (YEAR('기록'!$A:$A)&amp;"""")=$A$2)))) / P$7, ""-""))"),"-")</f>
        <v>-</v>
      </c>
      <c r="Q8" s="36" t="str">
        <f>IFERROR(__xludf.DUMMYFUNCTION("IF(Q$6="""", """", IFERROR(ROWS(FILTER('기록'!$F:$F, ('기록'!$D:$D=Q$6) * ('기록'!$F:$F=1) * (IF($A$2=""전체"", TRUE, (YEAR('기록'!$A:$A)&amp;"""")=$A$2)))) / Q$7, ""-""))"),"-")</f>
        <v>-</v>
      </c>
      <c r="R8" s="36" t="str">
        <f>IFERROR(__xludf.DUMMYFUNCTION("IF(R$6="""", """", IFERROR(ROWS(FILTER('기록'!$F:$F, ('기록'!$D:$D=R$6) * ('기록'!$F:$F=1) * (IF($A$2=""전체"", TRUE, (YEAR('기록'!$A:$A)&amp;"""")=$A$2)))) / R$7, ""-""))"),"-")</f>
        <v>-</v>
      </c>
      <c r="S8" s="36" t="str">
        <f>IFERROR(__xludf.DUMMYFUNCTION("IF(S$6="""", """", IFERROR(ROWS(FILTER('기록'!$F:$F, ('기록'!$D:$D=S$6) * ('기록'!$F:$F=1) * (IF($A$2=""전체"", TRUE, (YEAR('기록'!$A:$A)&amp;"""")=$A$2)))) / S$7, ""-""))"),"-")</f>
        <v>-</v>
      </c>
      <c r="T8" s="36" t="str">
        <f>IFERROR(__xludf.DUMMYFUNCTION("IF(T$6="""", """", IFERROR(ROWS(FILTER('기록'!$F:$F, ('기록'!$D:$D=T$6) * ('기록'!$F:$F=1) * (IF($A$2=""전체"", TRUE, (YEAR('기록'!$A:$A)&amp;"""")=$A$2)))) / T$7, ""-""))"),"-")</f>
        <v>-</v>
      </c>
      <c r="U8" s="36" t="str">
        <f>IFERROR(__xludf.DUMMYFUNCTION("IF(U$6="""", """", IFERROR(ROWS(FILTER('기록'!$F:$F, ('기록'!$D:$D=U$6) * ('기록'!$F:$F=1) * (IF($A$2=""전체"", TRUE, (YEAR('기록'!$A:$A)&amp;"""")=$A$2)))) / U$7, ""-""))"),"-")</f>
        <v>-</v>
      </c>
      <c r="V8" s="36">
        <f>IFERROR(__xludf.DUMMYFUNCTION("IF(V$6="""", """", IFERROR(ROWS(FILTER('기록'!$F:$F, ('기록'!$D:$D=V$6) * ('기록'!$F:$F=1) * (IF($A$2=""전체"", TRUE, (YEAR('기록'!$A:$A)&amp;"""")=$A$2)))) / V$7, ""-""))"),0.16666666666666666)</f>
        <v>0.1666666667</v>
      </c>
      <c r="W8" s="36" t="str">
        <f>IFERROR(__xludf.DUMMYFUNCTION("IF(W$6="""", """", IFERROR(ROWS(FILTER('기록'!$F:$F, ('기록'!$D:$D=W$6) * ('기록'!$F:$F=1) * (IF($A$2=""전체"", TRUE, (YEAR('기록'!$A:$A)&amp;"""")=$A$2)))) / W$7, ""-""))"),"-")</f>
        <v>-</v>
      </c>
      <c r="X8" s="36" t="str">
        <f>IFERROR(__xludf.DUMMYFUNCTION("IF(X$6="""", """", IFERROR(ROWS(FILTER('기록'!$F:$F, ('기록'!$D:$D=X$6) * ('기록'!$F:$F=1) * (IF($A$2=""전체"", TRUE, (YEAR('기록'!$A:$A)&amp;"""")=$A$2)))) / X$7, ""-""))"),"-")</f>
        <v>-</v>
      </c>
      <c r="Y8" s="36" t="str">
        <f>IFERROR(__xludf.DUMMYFUNCTION("IF(Y$6="""", """", IFERROR(ROWS(FILTER('기록'!$F:$F, ('기록'!$D:$D=Y$6) * ('기록'!$F:$F=1) * (IF($A$2=""전체"", TRUE, (YEAR('기록'!$A:$A)&amp;"""")=$A$2)))) / Y$7, ""-""))"),"-")</f>
        <v>-</v>
      </c>
      <c r="Z8" s="36" t="str">
        <f>IFERROR(__xludf.DUMMYFUNCTION("IF(Z$6="""", """", IFERROR(ROWS(FILTER('기록'!$F:$F, ('기록'!$D:$D=Z$6) * ('기록'!$F:$F=1) * (IF($A$2=""전체"", TRUE, (YEAR('기록'!$A:$A)&amp;"""")=$A$2)))) / Z$7, ""-""))"),"-")</f>
        <v>-</v>
      </c>
      <c r="AA8" s="36" t="str">
        <f>IFERROR(__xludf.DUMMYFUNCTION("IF(AA$6="""", """", IFERROR(ROWS(FILTER('기록'!$F:$F, ('기록'!$D:$D=AA$6) * ('기록'!$F:$F=1) * (IF($A$2=""전체"", TRUE, (YEAR('기록'!$A:$A)&amp;"""")=$A$2)))) / AA$7, ""-""))"),"-")</f>
        <v>-</v>
      </c>
      <c r="AB8" s="36" t="str">
        <f>IFERROR(__xludf.DUMMYFUNCTION("IF(AB$6="""", """", IFERROR(ROWS(FILTER('기록'!$F:$F, ('기록'!$D:$D=AB$6) * ('기록'!$F:$F=1) * (IF($A$2=""전체"", TRUE, (YEAR('기록'!$A:$A)&amp;"""")=$A$2)))) / AB$7, ""-""))"),"-")</f>
        <v>-</v>
      </c>
      <c r="AC8" s="36" t="str">
        <f>IFERROR(__xludf.DUMMYFUNCTION("IF(AC$6="""", """", IFERROR(ROWS(FILTER('기록'!$F:$F, ('기록'!$D:$D=AC$6) * ('기록'!$F:$F=1) * (IF($A$2=""전체"", TRUE, (YEAR('기록'!$A:$A)&amp;"""")=$A$2)))) / AC$7, ""-""))"),"-")</f>
        <v>-</v>
      </c>
      <c r="AD8" s="36" t="str">
        <f>IFERROR(__xludf.DUMMYFUNCTION("IF(AD$6="""", """", IFERROR(ROWS(FILTER('기록'!$F:$F, ('기록'!$D:$D=AD$6) * ('기록'!$F:$F=1) * (IF($A$2=""전체"", TRUE, (YEAR('기록'!$A:$A)&amp;"""")=$A$2)))) / AD$7, ""-""))"),"-")</f>
        <v>-</v>
      </c>
      <c r="AE8" s="36" t="str">
        <f>IFERROR(__xludf.DUMMYFUNCTION("IF(AE$6="""", """", IFERROR(ROWS(FILTER('기록'!$F:$F, ('기록'!$D:$D=AE$6) * ('기록'!$F:$F=1) * (IF($A$2=""전체"", TRUE, (YEAR('기록'!$A:$A)&amp;"""")=$A$2)))) / AE$7, ""-""))"),"-")</f>
        <v>-</v>
      </c>
      <c r="AF8" s="36" t="str">
        <f>IFERROR(__xludf.DUMMYFUNCTION("IF(AF$6="""", """", IFERROR(ROWS(FILTER('기록'!$F:$F, ('기록'!$D:$D=AF$6) * ('기록'!$F:$F=1) * (IF($A$2=""전체"", TRUE, (YEAR('기록'!$A:$A)&amp;"""")=$A$2)))) / AF$7, ""-""))"),"-")</f>
        <v>-</v>
      </c>
      <c r="AG8" s="36">
        <f>IFERROR(__xludf.DUMMYFUNCTION("IF(AG$6="""", """", IFERROR(ROWS(FILTER('기록'!$F:$F, ('기록'!$D:$D=AG$6) * ('기록'!$F:$F=1) * (IF($A$2=""전체"", TRUE, (YEAR('기록'!$A:$A)&amp;"""")=$A$2)))) / AG$7, ""-""))"),0.25)</f>
        <v>0.25</v>
      </c>
      <c r="AH8" s="36">
        <f>IFERROR(__xludf.DUMMYFUNCTION("IF(AH$6="""", """", IFERROR(ROWS(FILTER('기록'!$F:$F, ('기록'!$D:$D=AH$6) * ('기록'!$F:$F=1) * (IF($A$2=""전체"", TRUE, (YEAR('기록'!$A:$A)&amp;"""")=$A$2)))) / AH$7, ""-""))"),0.08333333333333333)</f>
        <v>0.08333333333</v>
      </c>
      <c r="AI8" s="36">
        <f>IFERROR(__xludf.DUMMYFUNCTION("IF(AI$6="""", """", IFERROR(ROWS(FILTER('기록'!$F:$F, ('기록'!$D:$D=AI$6) * ('기록'!$F:$F=1) * (IF($A$2=""전체"", TRUE, (YEAR('기록'!$A:$A)&amp;"""")=$A$2)))) / AI$7, ""-""))"),0.3333333333333333)</f>
        <v>0.3333333333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</row>
    <row r="9">
      <c r="B9" s="35" t="s">
        <v>70</v>
      </c>
      <c r="C9" s="36">
        <f>IFERROR(__xludf.DUMMYFUNCTION("IF(C$6="""", """", IFERROR(ROWS(FILTER('기록'!$F:$F, ('기록'!$D:$D=C$6) * ('기록'!$F:$F=2) * (IF($A$2=""전체"", TRUE, (YEAR('기록'!$A:$A)&amp;"""")=$A$2)))) / C$7, ""-""))"),0.35)</f>
        <v>0.35</v>
      </c>
      <c r="D9" s="36">
        <f>IFERROR(__xludf.DUMMYFUNCTION("IF(D$6="""", """", IFERROR(ROWS(FILTER('기록'!$F:$F, ('기록'!$D:$D=D$6) * ('기록'!$F:$F=2) * (IF($A$2=""전체"", TRUE, (YEAR('기록'!$A:$A)&amp;"""")=$A$2)))) / D$7, ""-""))"),0.25)</f>
        <v>0.25</v>
      </c>
      <c r="E9" s="36">
        <f>IFERROR(__xludf.DUMMYFUNCTION("IF(E$6="""", """", IFERROR(ROWS(FILTER('기록'!$F:$F, ('기록'!$D:$D=E$6) * ('기록'!$F:$F=2) * (IF($A$2=""전체"", TRUE, (YEAR('기록'!$A:$A)&amp;"""")=$A$2)))) / E$7, ""-""))"),0.21052631578947367)</f>
        <v>0.2105263158</v>
      </c>
      <c r="F9" s="36">
        <f>IFERROR(__xludf.DUMMYFUNCTION("IF(F$6="""", """", IFERROR(ROWS(FILTER('기록'!$F:$F, ('기록'!$D:$D=F$6) * ('기록'!$F:$F=2) * (IF($A$2=""전체"", TRUE, (YEAR('기록'!$A:$A)&amp;"""")=$A$2)))) / F$7, ""-""))"),0.25)</f>
        <v>0.25</v>
      </c>
      <c r="G9" s="36">
        <f>IFERROR(__xludf.DUMMYFUNCTION("IF(G$6="""", """", IFERROR(ROWS(FILTER('기록'!$F:$F, ('기록'!$D:$D=G$6) * ('기록'!$F:$F=2) * (IF($A$2=""전체"", TRUE, (YEAR('기록'!$A:$A)&amp;"""")=$A$2)))) / G$7, ""-""))"),0.42105263157894735)</f>
        <v>0.4210526316</v>
      </c>
      <c r="H9" s="36">
        <f>IFERROR(__xludf.DUMMYFUNCTION("IF(H$6="""", """", IFERROR(ROWS(FILTER('기록'!$F:$F, ('기록'!$D:$D=H$6) * ('기록'!$F:$F=2) * (IF($A$2=""전체"", TRUE, (YEAR('기록'!$A:$A)&amp;"""")=$A$2)))) / H$7, ""-""))"),0.2)</f>
        <v>0.2</v>
      </c>
      <c r="I9" s="36" t="str">
        <f>IFERROR(__xludf.DUMMYFUNCTION("IF(I$6="""", """", IFERROR(ROWS(FILTER('기록'!$F:$F, ('기록'!$D:$D=I$6) * ('기록'!$F:$F=2) * (IF($A$2=""전체"", TRUE, (YEAR('기록'!$A:$A)&amp;"""")=$A$2)))) / I$7, ""-""))"),"-")</f>
        <v>-</v>
      </c>
      <c r="J9" s="36" t="str">
        <f>IFERROR(__xludf.DUMMYFUNCTION("IF(J$6="""", """", IFERROR(ROWS(FILTER('기록'!$F:$F, ('기록'!$D:$D=J$6) * ('기록'!$F:$F=2) * (IF($A$2=""전체"", TRUE, (YEAR('기록'!$A:$A)&amp;"""")=$A$2)))) / J$7, ""-""))"),"-")</f>
        <v>-</v>
      </c>
      <c r="K9" s="36">
        <f>IFERROR(__xludf.DUMMYFUNCTION("IF(K$6="""", """", IFERROR(ROWS(FILTER('기록'!$F:$F, ('기록'!$D:$D=K$6) * ('기록'!$F:$F=2) * (IF($A$2=""전체"", TRUE, (YEAR('기록'!$A:$A)&amp;"""")=$A$2)))) / K$7, ""-""))"),0.2857142857142857)</f>
        <v>0.2857142857</v>
      </c>
      <c r="L9" s="36">
        <f>IFERROR(__xludf.DUMMYFUNCTION("IF(L$6="""", """", IFERROR(ROWS(FILTER('기록'!$F:$F, ('기록'!$D:$D=L$6) * ('기록'!$F:$F=2) * (IF($A$2=""전체"", TRUE, (YEAR('기록'!$A:$A)&amp;"""")=$A$2)))) / L$7, ""-""))"),0.17647058823529413)</f>
        <v>0.1764705882</v>
      </c>
      <c r="M9" s="36">
        <f>IFERROR(__xludf.DUMMYFUNCTION("IF(M$6="""", """", IFERROR(ROWS(FILTER('기록'!$F:$F, ('기록'!$D:$D=M$6) * ('기록'!$F:$F=2) * (IF($A$2=""전체"", TRUE, (YEAR('기록'!$A:$A)&amp;"""")=$A$2)))) / M$7, ""-""))"),0.24324324324324326)</f>
        <v>0.2432432432</v>
      </c>
      <c r="N9" s="36" t="str">
        <f>IFERROR(__xludf.DUMMYFUNCTION("IF(N$6="""", """", IFERROR(ROWS(FILTER('기록'!$F:$F, ('기록'!$D:$D=N$6) * ('기록'!$F:$F=2) * (IF($A$2=""전체"", TRUE, (YEAR('기록'!$A:$A)&amp;"""")=$A$2)))) / N$7, ""-""))"),"-")</f>
        <v>-</v>
      </c>
      <c r="O9" s="36">
        <f>IFERROR(__xludf.DUMMYFUNCTION("IF(O$6="""", """", IFERROR(ROWS(FILTER('기록'!$F:$F, ('기록'!$D:$D=O$6) * ('기록'!$F:$F=2) * (IF($A$2=""전체"", TRUE, (YEAR('기록'!$A:$A)&amp;"""")=$A$2)))) / O$7, ""-""))"),0.2)</f>
        <v>0.2</v>
      </c>
      <c r="P9" s="36" t="str">
        <f>IFERROR(__xludf.DUMMYFUNCTION("IF(P$6="""", """", IFERROR(ROWS(FILTER('기록'!$F:$F, ('기록'!$D:$D=P$6) * ('기록'!$F:$F=2) * (IF($A$2=""전체"", TRUE, (YEAR('기록'!$A:$A)&amp;"""")=$A$2)))) / P$7, ""-""))"),"-")</f>
        <v>-</v>
      </c>
      <c r="Q9" s="36" t="str">
        <f>IFERROR(__xludf.DUMMYFUNCTION("IF(Q$6="""", """", IFERROR(ROWS(FILTER('기록'!$F:$F, ('기록'!$D:$D=Q$6) * ('기록'!$F:$F=2) * (IF($A$2=""전체"", TRUE, (YEAR('기록'!$A:$A)&amp;"""")=$A$2)))) / Q$7, ""-""))"),"-")</f>
        <v>-</v>
      </c>
      <c r="R9" s="36" t="str">
        <f>IFERROR(__xludf.DUMMYFUNCTION("IF(R$6="""", """", IFERROR(ROWS(FILTER('기록'!$F:$F, ('기록'!$D:$D=R$6) * ('기록'!$F:$F=2) * (IF($A$2=""전체"", TRUE, (YEAR('기록'!$A:$A)&amp;"""")=$A$2)))) / R$7, ""-""))"),"-")</f>
        <v>-</v>
      </c>
      <c r="S9" s="36" t="str">
        <f>IFERROR(__xludf.DUMMYFUNCTION("IF(S$6="""", """", IFERROR(ROWS(FILTER('기록'!$F:$F, ('기록'!$D:$D=S$6) * ('기록'!$F:$F=2) * (IF($A$2=""전체"", TRUE, (YEAR('기록'!$A:$A)&amp;"""")=$A$2)))) / S$7, ""-""))"),"-")</f>
        <v>-</v>
      </c>
      <c r="T9" s="36" t="str">
        <f>IFERROR(__xludf.DUMMYFUNCTION("IF(T$6="""", """", IFERROR(ROWS(FILTER('기록'!$F:$F, ('기록'!$D:$D=T$6) * ('기록'!$F:$F=2) * (IF($A$2=""전체"", TRUE, (YEAR('기록'!$A:$A)&amp;"""")=$A$2)))) / T$7, ""-""))"),"-")</f>
        <v>-</v>
      </c>
      <c r="U9" s="36" t="str">
        <f>IFERROR(__xludf.DUMMYFUNCTION("IF(U$6="""", """", IFERROR(ROWS(FILTER('기록'!$F:$F, ('기록'!$D:$D=U$6) * ('기록'!$F:$F=2) * (IF($A$2=""전체"", TRUE, (YEAR('기록'!$A:$A)&amp;"""")=$A$2)))) / U$7, ""-""))"),"-")</f>
        <v>-</v>
      </c>
      <c r="V9" s="36">
        <f>IFERROR(__xludf.DUMMYFUNCTION("IF(V$6="""", """", IFERROR(ROWS(FILTER('기록'!$F:$F, ('기록'!$D:$D=V$6) * ('기록'!$F:$F=2) * (IF($A$2=""전체"", TRUE, (YEAR('기록'!$A:$A)&amp;"""")=$A$2)))) / V$7, ""-""))"),0.25)</f>
        <v>0.25</v>
      </c>
      <c r="W9" s="36" t="str">
        <f>IFERROR(__xludf.DUMMYFUNCTION("IF(W$6="""", """", IFERROR(ROWS(FILTER('기록'!$F:$F, ('기록'!$D:$D=W$6) * ('기록'!$F:$F=2) * (IF($A$2=""전체"", TRUE, (YEAR('기록'!$A:$A)&amp;"""")=$A$2)))) / W$7, ""-""))"),"-")</f>
        <v>-</v>
      </c>
      <c r="X9" s="36" t="str">
        <f>IFERROR(__xludf.DUMMYFUNCTION("IF(X$6="""", """", IFERROR(ROWS(FILTER('기록'!$F:$F, ('기록'!$D:$D=X$6) * ('기록'!$F:$F=2) * (IF($A$2=""전체"", TRUE, (YEAR('기록'!$A:$A)&amp;"""")=$A$2)))) / X$7, ""-""))"),"-")</f>
        <v>-</v>
      </c>
      <c r="Y9" s="36" t="str">
        <f>IFERROR(__xludf.DUMMYFUNCTION("IF(Y$6="""", """", IFERROR(ROWS(FILTER('기록'!$F:$F, ('기록'!$D:$D=Y$6) * ('기록'!$F:$F=2) * (IF($A$2=""전체"", TRUE, (YEAR('기록'!$A:$A)&amp;"""")=$A$2)))) / Y$7, ""-""))"),"-")</f>
        <v>-</v>
      </c>
      <c r="Z9" s="36" t="str">
        <f>IFERROR(__xludf.DUMMYFUNCTION("IF(Z$6="""", """", IFERROR(ROWS(FILTER('기록'!$F:$F, ('기록'!$D:$D=Z$6) * ('기록'!$F:$F=2) * (IF($A$2=""전체"", TRUE, (YEAR('기록'!$A:$A)&amp;"""")=$A$2)))) / Z$7, ""-""))"),"-")</f>
        <v>-</v>
      </c>
      <c r="AA9" s="36" t="str">
        <f>IFERROR(__xludf.DUMMYFUNCTION("IF(AA$6="""", """", IFERROR(ROWS(FILTER('기록'!$F:$F, ('기록'!$D:$D=AA$6) * ('기록'!$F:$F=2) * (IF($A$2=""전체"", TRUE, (YEAR('기록'!$A:$A)&amp;"""")=$A$2)))) / AA$7, ""-""))"),"-")</f>
        <v>-</v>
      </c>
      <c r="AB9" s="36" t="str">
        <f>IFERROR(__xludf.DUMMYFUNCTION("IF(AB$6="""", """", IFERROR(ROWS(FILTER('기록'!$F:$F, ('기록'!$D:$D=AB$6) * ('기록'!$F:$F=2) * (IF($A$2=""전체"", TRUE, (YEAR('기록'!$A:$A)&amp;"""")=$A$2)))) / AB$7, ""-""))"),"-")</f>
        <v>-</v>
      </c>
      <c r="AC9" s="36">
        <f>IFERROR(__xludf.DUMMYFUNCTION("IF(AC$6="""", """", IFERROR(ROWS(FILTER('기록'!$F:$F, ('기록'!$D:$D=AC$6) * ('기록'!$F:$F=2) * (IF($A$2=""전체"", TRUE, (YEAR('기록'!$A:$A)&amp;"""")=$A$2)))) / AC$7, ""-""))"),0.2222222222222222)</f>
        <v>0.2222222222</v>
      </c>
      <c r="AD9" s="36" t="str">
        <f>IFERROR(__xludf.DUMMYFUNCTION("IF(AD$6="""", """", IFERROR(ROWS(FILTER('기록'!$F:$F, ('기록'!$D:$D=AD$6) * ('기록'!$F:$F=2) * (IF($A$2=""전체"", TRUE, (YEAR('기록'!$A:$A)&amp;"""")=$A$2)))) / AD$7, ""-""))"),"-")</f>
        <v>-</v>
      </c>
      <c r="AE9" s="36" t="str">
        <f>IFERROR(__xludf.DUMMYFUNCTION("IF(AE$6="""", """", IFERROR(ROWS(FILTER('기록'!$F:$F, ('기록'!$D:$D=AE$6) * ('기록'!$F:$F=2) * (IF($A$2=""전체"", TRUE, (YEAR('기록'!$A:$A)&amp;"""")=$A$2)))) / AE$7, ""-""))"),"-")</f>
        <v>-</v>
      </c>
      <c r="AF9" s="36" t="str">
        <f>IFERROR(__xludf.DUMMYFUNCTION("IF(AF$6="""", """", IFERROR(ROWS(FILTER('기록'!$F:$F, ('기록'!$D:$D=AF$6) * ('기록'!$F:$F=2) * (IF($A$2=""전체"", TRUE, (YEAR('기록'!$A:$A)&amp;"""")=$A$2)))) / AF$7, ""-""))"),"-")</f>
        <v>-</v>
      </c>
      <c r="AG9" s="36">
        <f>IFERROR(__xludf.DUMMYFUNCTION("IF(AG$6="""", """", IFERROR(ROWS(FILTER('기록'!$F:$F, ('기록'!$D:$D=AG$6) * ('기록'!$F:$F=2) * (IF($A$2=""전체"", TRUE, (YEAR('기록'!$A:$A)&amp;"""")=$A$2)))) / AG$7, ""-""))"),0.25)</f>
        <v>0.25</v>
      </c>
      <c r="AH9" s="36">
        <f>IFERROR(__xludf.DUMMYFUNCTION("IF(AH$6="""", """", IFERROR(ROWS(FILTER('기록'!$F:$F, ('기록'!$D:$D=AH$6) * ('기록'!$F:$F=2) * (IF($A$2=""전체"", TRUE, (YEAR('기록'!$A:$A)&amp;"""")=$A$2)))) / AH$7, ""-""))"),0.3333333333333333)</f>
        <v>0.3333333333</v>
      </c>
      <c r="AI9" s="36" t="str">
        <f>IFERROR(__xludf.DUMMYFUNCTION("IF(AI$6="""", """", IFERROR(ROWS(FILTER('기록'!$F:$F, ('기록'!$D:$D=AI$6) * ('기록'!$F:$F=2) * (IF($A$2=""전체"", TRUE, (YEAR('기록'!$A:$A)&amp;"""")=$A$2)))) / AI$7, ""-""))"),"-")</f>
        <v>-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</row>
    <row r="10">
      <c r="B10" s="35" t="s">
        <v>71</v>
      </c>
      <c r="C10" s="36">
        <f>IFERROR(__xludf.DUMMYFUNCTION("IF(C$6="""", """", IFERROR(ROWS(FILTER('기록'!$F:$F, ('기록'!$D:$D=C$6) * ('기록'!$F:$F=3) * (IF($A$2=""전체"", TRUE, (YEAR('기록'!$A:$A)&amp;"""")=$A$2)))) / C$7, ""-""))"),0.15)</f>
        <v>0.15</v>
      </c>
      <c r="D10" s="36">
        <f>IFERROR(__xludf.DUMMYFUNCTION("IF(D$6="""", """", IFERROR(ROWS(FILTER('기록'!$F:$F, ('기록'!$D:$D=D$6) * ('기록'!$F:$F=3) * (IF($A$2=""전체"", TRUE, (YEAR('기록'!$A:$A)&amp;"""")=$A$2)))) / D$7, ""-""))"),0.3333333333333333)</f>
        <v>0.3333333333</v>
      </c>
      <c r="E10" s="36">
        <f>IFERROR(__xludf.DUMMYFUNCTION("IF(E$6="""", """", IFERROR(ROWS(FILTER('기록'!$F:$F, ('기록'!$D:$D=E$6) * ('기록'!$F:$F=3) * (IF($A$2=""전체"", TRUE, (YEAR('기록'!$A:$A)&amp;"""")=$A$2)))) / E$7, ""-""))"),0.10526315789473684)</f>
        <v>0.1052631579</v>
      </c>
      <c r="F10" s="36">
        <f>IFERROR(__xludf.DUMMYFUNCTION("IF(F$6="""", """", IFERROR(ROWS(FILTER('기록'!$F:$F, ('기록'!$D:$D=F$6) * ('기록'!$F:$F=3) * (IF($A$2=""전체"", TRUE, (YEAR('기록'!$A:$A)&amp;"""")=$A$2)))) / F$7, ""-""))"),0.21428571428571427)</f>
        <v>0.2142857143</v>
      </c>
      <c r="G10" s="36">
        <f>IFERROR(__xludf.DUMMYFUNCTION("IF(G$6="""", """", IFERROR(ROWS(FILTER('기록'!$F:$F, ('기록'!$D:$D=G$6) * ('기록'!$F:$F=3) * (IF($A$2=""전체"", TRUE, (YEAR('기록'!$A:$A)&amp;"""")=$A$2)))) / G$7, ""-""))"),0.21052631578947367)</f>
        <v>0.2105263158</v>
      </c>
      <c r="H10" s="36">
        <f>IFERROR(__xludf.DUMMYFUNCTION("IF(H$6="""", """", IFERROR(ROWS(FILTER('기록'!$F:$F, ('기록'!$D:$D=H$6) * ('기록'!$F:$F=3) * (IF($A$2=""전체"", TRUE, (YEAR('기록'!$A:$A)&amp;"""")=$A$2)))) / H$7, ""-""))"),0.3)</f>
        <v>0.3</v>
      </c>
      <c r="I10" s="36">
        <f>IFERROR(__xludf.DUMMYFUNCTION("IF(I$6="""", """", IFERROR(ROWS(FILTER('기록'!$F:$F, ('기록'!$D:$D=I$6) * ('기록'!$F:$F=3) * (IF($A$2=""전체"", TRUE, (YEAR('기록'!$A:$A)&amp;"""")=$A$2)))) / I$7, ""-""))"),0.42857142857142855)</f>
        <v>0.4285714286</v>
      </c>
      <c r="J10" s="36" t="str">
        <f>IFERROR(__xludf.DUMMYFUNCTION("IF(J$6="""", """", IFERROR(ROWS(FILTER('기록'!$F:$F, ('기록'!$D:$D=J$6) * ('기록'!$F:$F=3) * (IF($A$2=""전체"", TRUE, (YEAR('기록'!$A:$A)&amp;"""")=$A$2)))) / J$7, ""-""))"),"-")</f>
        <v>-</v>
      </c>
      <c r="K10" s="36" t="str">
        <f>IFERROR(__xludf.DUMMYFUNCTION("IF(K$6="""", """", IFERROR(ROWS(FILTER('기록'!$F:$F, ('기록'!$D:$D=K$6) * ('기록'!$F:$F=3) * (IF($A$2=""전체"", TRUE, (YEAR('기록'!$A:$A)&amp;"""")=$A$2)))) / K$7, ""-""))"),"-")</f>
        <v>-</v>
      </c>
      <c r="L10" s="36">
        <f>IFERROR(__xludf.DUMMYFUNCTION("IF(L$6="""", """", IFERROR(ROWS(FILTER('기록'!$F:$F, ('기록'!$D:$D=L$6) * ('기록'!$F:$F=3) * (IF($A$2=""전체"", TRUE, (YEAR('기록'!$A:$A)&amp;"""")=$A$2)))) / L$7, ""-""))"),0.17647058823529413)</f>
        <v>0.1764705882</v>
      </c>
      <c r="M10" s="36">
        <f>IFERROR(__xludf.DUMMYFUNCTION("IF(M$6="""", """", IFERROR(ROWS(FILTER('기록'!$F:$F, ('기록'!$D:$D=M$6) * ('기록'!$F:$F=3) * (IF($A$2=""전체"", TRUE, (YEAR('기록'!$A:$A)&amp;"""")=$A$2)))) / M$7, ""-""))"),0.2972972972972973)</f>
        <v>0.2972972973</v>
      </c>
      <c r="N10" s="36" t="str">
        <f>IFERROR(__xludf.DUMMYFUNCTION("IF(N$6="""", """", IFERROR(ROWS(FILTER('기록'!$F:$F, ('기록'!$D:$D=N$6) * ('기록'!$F:$F=3) * (IF($A$2=""전체"", TRUE, (YEAR('기록'!$A:$A)&amp;"""")=$A$2)))) / N$7, ""-""))"),"-")</f>
        <v>-</v>
      </c>
      <c r="O10" s="36">
        <f>IFERROR(__xludf.DUMMYFUNCTION("IF(O$6="""", """", IFERROR(ROWS(FILTER('기록'!$F:$F, ('기록'!$D:$D=O$6) * ('기록'!$F:$F=3) * (IF($A$2=""전체"", TRUE, (YEAR('기록'!$A:$A)&amp;"""")=$A$2)))) / O$7, ""-""))"),0.2)</f>
        <v>0.2</v>
      </c>
      <c r="P10" s="36" t="str">
        <f>IFERROR(__xludf.DUMMYFUNCTION("IF(P$6="""", """", IFERROR(ROWS(FILTER('기록'!$F:$F, ('기록'!$D:$D=P$6) * ('기록'!$F:$F=3) * (IF($A$2=""전체"", TRUE, (YEAR('기록'!$A:$A)&amp;"""")=$A$2)))) / P$7, ""-""))"),"-")</f>
        <v>-</v>
      </c>
      <c r="Q10" s="36" t="str">
        <f>IFERROR(__xludf.DUMMYFUNCTION("IF(Q$6="""", """", IFERROR(ROWS(FILTER('기록'!$F:$F, ('기록'!$D:$D=Q$6) * ('기록'!$F:$F=3) * (IF($A$2=""전체"", TRUE, (YEAR('기록'!$A:$A)&amp;"""")=$A$2)))) / Q$7, ""-""))"),"-")</f>
        <v>-</v>
      </c>
      <c r="R10" s="36" t="str">
        <f>IFERROR(__xludf.DUMMYFUNCTION("IF(R$6="""", """", IFERROR(ROWS(FILTER('기록'!$F:$F, ('기록'!$D:$D=R$6) * ('기록'!$F:$F=3) * (IF($A$2=""전체"", TRUE, (YEAR('기록'!$A:$A)&amp;"""")=$A$2)))) / R$7, ""-""))"),"-")</f>
        <v>-</v>
      </c>
      <c r="S10" s="36" t="str">
        <f>IFERROR(__xludf.DUMMYFUNCTION("IF(S$6="""", """", IFERROR(ROWS(FILTER('기록'!$F:$F, ('기록'!$D:$D=S$6) * ('기록'!$F:$F=3) * (IF($A$2=""전체"", TRUE, (YEAR('기록'!$A:$A)&amp;"""")=$A$2)))) / S$7, ""-""))"),"-")</f>
        <v>-</v>
      </c>
      <c r="T10" s="36" t="str">
        <f>IFERROR(__xludf.DUMMYFUNCTION("IF(T$6="""", """", IFERROR(ROWS(FILTER('기록'!$F:$F, ('기록'!$D:$D=T$6) * ('기록'!$F:$F=3) * (IF($A$2=""전체"", TRUE, (YEAR('기록'!$A:$A)&amp;"""")=$A$2)))) / T$7, ""-""))"),"-")</f>
        <v>-</v>
      </c>
      <c r="U10" s="36" t="str">
        <f>IFERROR(__xludf.DUMMYFUNCTION("IF(U$6="""", """", IFERROR(ROWS(FILTER('기록'!$F:$F, ('기록'!$D:$D=U$6) * ('기록'!$F:$F=3) * (IF($A$2=""전체"", TRUE, (YEAR('기록'!$A:$A)&amp;"""")=$A$2)))) / U$7, ""-""))"),"-")</f>
        <v>-</v>
      </c>
      <c r="V10" s="36">
        <f>IFERROR(__xludf.DUMMYFUNCTION("IF(V$6="""", """", IFERROR(ROWS(FILTER('기록'!$F:$F, ('기록'!$D:$D=V$6) * ('기록'!$F:$F=3) * (IF($A$2=""전체"", TRUE, (YEAR('기록'!$A:$A)&amp;"""")=$A$2)))) / V$7, ""-""))"),0.4166666666666667)</f>
        <v>0.4166666667</v>
      </c>
      <c r="W10" s="36" t="str">
        <f>IFERROR(__xludf.DUMMYFUNCTION("IF(W$6="""", """", IFERROR(ROWS(FILTER('기록'!$F:$F, ('기록'!$D:$D=W$6) * ('기록'!$F:$F=3) * (IF($A$2=""전체"", TRUE, (YEAR('기록'!$A:$A)&amp;"""")=$A$2)))) / W$7, ""-""))"),"-")</f>
        <v>-</v>
      </c>
      <c r="X10" s="36" t="str">
        <f>IFERROR(__xludf.DUMMYFUNCTION("IF(X$6="""", """", IFERROR(ROWS(FILTER('기록'!$F:$F, ('기록'!$D:$D=X$6) * ('기록'!$F:$F=3) * (IF($A$2=""전체"", TRUE, (YEAR('기록'!$A:$A)&amp;"""")=$A$2)))) / X$7, ""-""))"),"-")</f>
        <v>-</v>
      </c>
      <c r="Y10" s="36" t="str">
        <f>IFERROR(__xludf.DUMMYFUNCTION("IF(Y$6="""", """", IFERROR(ROWS(FILTER('기록'!$F:$F, ('기록'!$D:$D=Y$6) * ('기록'!$F:$F=3) * (IF($A$2=""전체"", TRUE, (YEAR('기록'!$A:$A)&amp;"""")=$A$2)))) / Y$7, ""-""))"),"-")</f>
        <v>-</v>
      </c>
      <c r="Z10" s="36" t="str">
        <f>IFERROR(__xludf.DUMMYFUNCTION("IF(Z$6="""", """", IFERROR(ROWS(FILTER('기록'!$F:$F, ('기록'!$D:$D=Z$6) * ('기록'!$F:$F=3) * (IF($A$2=""전체"", TRUE, (YEAR('기록'!$A:$A)&amp;"""")=$A$2)))) / Z$7, ""-""))"),"-")</f>
        <v>-</v>
      </c>
      <c r="AA10" s="36" t="str">
        <f>IFERROR(__xludf.DUMMYFUNCTION("IF(AA$6="""", """", IFERROR(ROWS(FILTER('기록'!$F:$F, ('기록'!$D:$D=AA$6) * ('기록'!$F:$F=3) * (IF($A$2=""전체"", TRUE, (YEAR('기록'!$A:$A)&amp;"""")=$A$2)))) / AA$7, ""-""))"),"-")</f>
        <v>-</v>
      </c>
      <c r="AB10" s="36" t="str">
        <f>IFERROR(__xludf.DUMMYFUNCTION("IF(AB$6="""", """", IFERROR(ROWS(FILTER('기록'!$F:$F, ('기록'!$D:$D=AB$6) * ('기록'!$F:$F=3) * (IF($A$2=""전체"", TRUE, (YEAR('기록'!$A:$A)&amp;"""")=$A$2)))) / AB$7, ""-""))"),"-")</f>
        <v>-</v>
      </c>
      <c r="AC10" s="36">
        <f>IFERROR(__xludf.DUMMYFUNCTION("IF(AC$6="""", """", IFERROR(ROWS(FILTER('기록'!$F:$F, ('기록'!$D:$D=AC$6) * ('기록'!$F:$F=3) * (IF($A$2=""전체"", TRUE, (YEAR('기록'!$A:$A)&amp;"""")=$A$2)))) / AC$7, ""-""))"),0.3333333333333333)</f>
        <v>0.3333333333</v>
      </c>
      <c r="AD10" s="36" t="str">
        <f>IFERROR(__xludf.DUMMYFUNCTION("IF(AD$6="""", """", IFERROR(ROWS(FILTER('기록'!$F:$F, ('기록'!$D:$D=AD$6) * ('기록'!$F:$F=3) * (IF($A$2=""전체"", TRUE, (YEAR('기록'!$A:$A)&amp;"""")=$A$2)))) / AD$7, ""-""))"),"-")</f>
        <v>-</v>
      </c>
      <c r="AE10" s="36" t="str">
        <f>IFERROR(__xludf.DUMMYFUNCTION("IF(AE$6="""", """", IFERROR(ROWS(FILTER('기록'!$F:$F, ('기록'!$D:$D=AE$6) * ('기록'!$F:$F=3) * (IF($A$2=""전체"", TRUE, (YEAR('기록'!$A:$A)&amp;"""")=$A$2)))) / AE$7, ""-""))"),"-")</f>
        <v>-</v>
      </c>
      <c r="AF10" s="36" t="str">
        <f>IFERROR(__xludf.DUMMYFUNCTION("IF(AF$6="""", """", IFERROR(ROWS(FILTER('기록'!$F:$F, ('기록'!$D:$D=AF$6) * ('기록'!$F:$F=3) * (IF($A$2=""전체"", TRUE, (YEAR('기록'!$A:$A)&amp;"""")=$A$2)))) / AF$7, ""-""))"),"-")</f>
        <v>-</v>
      </c>
      <c r="AG10" s="36" t="str">
        <f>IFERROR(__xludf.DUMMYFUNCTION("IF(AG$6="""", """", IFERROR(ROWS(FILTER('기록'!$F:$F, ('기록'!$D:$D=AG$6) * ('기록'!$F:$F=3) * (IF($A$2=""전체"", TRUE, (YEAR('기록'!$A:$A)&amp;"""")=$A$2)))) / AG$7, ""-""))"),"-")</f>
        <v>-</v>
      </c>
      <c r="AH10" s="36">
        <f>IFERROR(__xludf.DUMMYFUNCTION("IF(AH$6="""", """", IFERROR(ROWS(FILTER('기록'!$F:$F, ('기록'!$D:$D=AH$6) * ('기록'!$F:$F=3) * (IF($A$2=""전체"", TRUE, (YEAR('기록'!$A:$A)&amp;"""")=$A$2)))) / AH$7, ""-""))"),0.3333333333333333)</f>
        <v>0.3333333333</v>
      </c>
      <c r="AI10" s="36">
        <f>IFERROR(__xludf.DUMMYFUNCTION("IF(AI$6="""", """", IFERROR(ROWS(FILTER('기록'!$F:$F, ('기록'!$D:$D=AI$6) * ('기록'!$F:$F=3) * (IF($A$2=""전체"", TRUE, (YEAR('기록'!$A:$A)&amp;"""")=$A$2)))) / AI$7, ""-""))"),0.3333333333333333)</f>
        <v>0.3333333333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</row>
    <row r="11">
      <c r="B11" s="35" t="s">
        <v>72</v>
      </c>
      <c r="C11" s="36">
        <f>IFERROR(__xludf.DUMMYFUNCTION("IF(C$6="""", """", IFERROR(ROWS(FILTER('기록'!$F:$F, ('기록'!$D:$D=C$6) * ('기록'!$F:$F=4) * (IF($A$2=""전체"", TRUE, (YEAR('기록'!$A:$A)&amp;"""")=$A$2)))) / C$7, ""-""))"),0.3)</f>
        <v>0.3</v>
      </c>
      <c r="D11" s="36">
        <f>IFERROR(__xludf.DUMMYFUNCTION("IF(D$6="""", """", IFERROR(ROWS(FILTER('기록'!$F:$F, ('기록'!$D:$D=D$6) * ('기록'!$F:$F=4) * (IF($A$2=""전체"", TRUE, (YEAR('기록'!$A:$A)&amp;"""")=$A$2)))) / D$7, ""-""))"),0.08333333333333333)</f>
        <v>0.08333333333</v>
      </c>
      <c r="E11" s="36">
        <f>IFERROR(__xludf.DUMMYFUNCTION("IF(E$6="""", """", IFERROR(ROWS(FILTER('기록'!$F:$F, ('기록'!$D:$D=E$6) * ('기록'!$F:$F=4) * (IF($A$2=""전체"", TRUE, (YEAR('기록'!$A:$A)&amp;"""")=$A$2)))) / E$7, ""-""))"),0.42105263157894735)</f>
        <v>0.4210526316</v>
      </c>
      <c r="F11" s="36">
        <f>IFERROR(__xludf.DUMMYFUNCTION("IF(F$6="""", """", IFERROR(ROWS(FILTER('기록'!$F:$F, ('기록'!$D:$D=F$6) * ('기록'!$F:$F=4) * (IF($A$2=""전체"", TRUE, (YEAR('기록'!$A:$A)&amp;"""")=$A$2)))) / F$7, ""-""))"),0.35714285714285715)</f>
        <v>0.3571428571</v>
      </c>
      <c r="G11" s="36">
        <f>IFERROR(__xludf.DUMMYFUNCTION("IF(G$6="""", """", IFERROR(ROWS(FILTER('기록'!$F:$F, ('기록'!$D:$D=G$6) * ('기록'!$F:$F=4) * (IF($A$2=""전체"", TRUE, (YEAR('기록'!$A:$A)&amp;"""")=$A$2)))) / G$7, ""-""))"),0.2631578947368421)</f>
        <v>0.2631578947</v>
      </c>
      <c r="H11" s="36">
        <f>IFERROR(__xludf.DUMMYFUNCTION("IF(H$6="""", """", IFERROR(ROWS(FILTER('기록'!$F:$F, ('기록'!$D:$D=H$6) * ('기록'!$F:$F=4) * (IF($A$2=""전체"", TRUE, (YEAR('기록'!$A:$A)&amp;"""")=$A$2)))) / H$7, ""-""))"),0.3)</f>
        <v>0.3</v>
      </c>
      <c r="I11" s="36">
        <f>IFERROR(__xludf.DUMMYFUNCTION("IF(I$6="""", """", IFERROR(ROWS(FILTER('기록'!$F:$F, ('기록'!$D:$D=I$6) * ('기록'!$F:$F=4) * (IF($A$2=""전체"", TRUE, (YEAR('기록'!$A:$A)&amp;"""")=$A$2)))) / I$7, ""-""))"),0.14285714285714285)</f>
        <v>0.1428571429</v>
      </c>
      <c r="J11" s="36" t="str">
        <f>IFERROR(__xludf.DUMMYFUNCTION("IF(J$6="""", """", IFERROR(ROWS(FILTER('기록'!$F:$F, ('기록'!$D:$D=J$6) * ('기록'!$F:$F=4) * (IF($A$2=""전체"", TRUE, (YEAR('기록'!$A:$A)&amp;"""")=$A$2)))) / J$7, ""-""))"),"-")</f>
        <v>-</v>
      </c>
      <c r="K11" s="36">
        <f>IFERROR(__xludf.DUMMYFUNCTION("IF(K$6="""", """", IFERROR(ROWS(FILTER('기록'!$F:$F, ('기록'!$D:$D=K$6) * ('기록'!$F:$F=4) * (IF($A$2=""전체"", TRUE, (YEAR('기록'!$A:$A)&amp;"""")=$A$2)))) / K$7, ""-""))"),0.42857142857142855)</f>
        <v>0.4285714286</v>
      </c>
      <c r="L11" s="36">
        <f>IFERROR(__xludf.DUMMYFUNCTION("IF(L$6="""", """", IFERROR(ROWS(FILTER('기록'!$F:$F, ('기록'!$D:$D=L$6) * ('기록'!$F:$F=4) * (IF($A$2=""전체"", TRUE, (YEAR('기록'!$A:$A)&amp;"""")=$A$2)))) / L$7, ""-""))"),0.23529411764705882)</f>
        <v>0.2352941176</v>
      </c>
      <c r="M11" s="36">
        <f>IFERROR(__xludf.DUMMYFUNCTION("IF(M$6="""", """", IFERROR(ROWS(FILTER('기록'!$F:$F, ('기록'!$D:$D=M$6) * ('기록'!$F:$F=4) * (IF($A$2=""전체"", TRUE, (YEAR('기록'!$A:$A)&amp;"""")=$A$2)))) / M$7, ""-""))"),0.10810810810810811)</f>
        <v>0.1081081081</v>
      </c>
      <c r="N11" s="36" t="str">
        <f>IFERROR(__xludf.DUMMYFUNCTION("IF(N$6="""", """", IFERROR(ROWS(FILTER('기록'!$F:$F, ('기록'!$D:$D=N$6) * ('기록'!$F:$F=4) * (IF($A$2=""전체"", TRUE, (YEAR('기록'!$A:$A)&amp;"""")=$A$2)))) / N$7, ""-""))"),"-")</f>
        <v>-</v>
      </c>
      <c r="O11" s="36">
        <f>IFERROR(__xludf.DUMMYFUNCTION("IF(O$6="""", """", IFERROR(ROWS(FILTER('기록'!$F:$F, ('기록'!$D:$D=O$6) * ('기록'!$F:$F=4) * (IF($A$2=""전체"", TRUE, (YEAR('기록'!$A:$A)&amp;"""")=$A$2)))) / O$7, ""-""))"),0.6)</f>
        <v>0.6</v>
      </c>
      <c r="P11" s="36" t="str">
        <f>IFERROR(__xludf.DUMMYFUNCTION("IF(P$6="""", """", IFERROR(ROWS(FILTER('기록'!$F:$F, ('기록'!$D:$D=P$6) * ('기록'!$F:$F=4) * (IF($A$2=""전체"", TRUE, (YEAR('기록'!$A:$A)&amp;"""")=$A$2)))) / P$7, ""-""))"),"-")</f>
        <v>-</v>
      </c>
      <c r="Q11" s="36" t="str">
        <f>IFERROR(__xludf.DUMMYFUNCTION("IF(Q$6="""", """", IFERROR(ROWS(FILTER('기록'!$F:$F, ('기록'!$D:$D=Q$6) * ('기록'!$F:$F=4) * (IF($A$2=""전체"", TRUE, (YEAR('기록'!$A:$A)&amp;"""")=$A$2)))) / Q$7, ""-""))"),"-")</f>
        <v>-</v>
      </c>
      <c r="R11" s="36" t="str">
        <f>IFERROR(__xludf.DUMMYFUNCTION("IF(R$6="""", """", IFERROR(ROWS(FILTER('기록'!$F:$F, ('기록'!$D:$D=R$6) * ('기록'!$F:$F=4) * (IF($A$2=""전체"", TRUE, (YEAR('기록'!$A:$A)&amp;"""")=$A$2)))) / R$7, ""-""))"),"-")</f>
        <v>-</v>
      </c>
      <c r="S11" s="36" t="str">
        <f>IFERROR(__xludf.DUMMYFUNCTION("IF(S$6="""", """", IFERROR(ROWS(FILTER('기록'!$F:$F, ('기록'!$D:$D=S$6) * ('기록'!$F:$F=4) * (IF($A$2=""전체"", TRUE, (YEAR('기록'!$A:$A)&amp;"""")=$A$2)))) / S$7, ""-""))"),"-")</f>
        <v>-</v>
      </c>
      <c r="T11" s="36" t="str">
        <f>IFERROR(__xludf.DUMMYFUNCTION("IF(T$6="""", """", IFERROR(ROWS(FILTER('기록'!$F:$F, ('기록'!$D:$D=T$6) * ('기록'!$F:$F=4) * (IF($A$2=""전체"", TRUE, (YEAR('기록'!$A:$A)&amp;"""")=$A$2)))) / T$7, ""-""))"),"-")</f>
        <v>-</v>
      </c>
      <c r="U11" s="36" t="str">
        <f>IFERROR(__xludf.DUMMYFUNCTION("IF(U$6="""", """", IFERROR(ROWS(FILTER('기록'!$F:$F, ('기록'!$D:$D=U$6) * ('기록'!$F:$F=4) * (IF($A$2=""전체"", TRUE, (YEAR('기록'!$A:$A)&amp;"""")=$A$2)))) / U$7, ""-""))"),"-")</f>
        <v>-</v>
      </c>
      <c r="V11" s="36">
        <f>IFERROR(__xludf.DUMMYFUNCTION("IF(V$6="""", """", IFERROR(ROWS(FILTER('기록'!$F:$F, ('기록'!$D:$D=V$6) * ('기록'!$F:$F=4) * (IF($A$2=""전체"", TRUE, (YEAR('기록'!$A:$A)&amp;"""")=$A$2)))) / V$7, ""-""))"),0.16666666666666666)</f>
        <v>0.1666666667</v>
      </c>
      <c r="W11" s="36" t="str">
        <f>IFERROR(__xludf.DUMMYFUNCTION("IF(W$6="""", """", IFERROR(ROWS(FILTER('기록'!$F:$F, ('기록'!$D:$D=W$6) * ('기록'!$F:$F=4) * (IF($A$2=""전체"", TRUE, (YEAR('기록'!$A:$A)&amp;"""")=$A$2)))) / W$7, ""-""))"),"-")</f>
        <v>-</v>
      </c>
      <c r="X11" s="36" t="str">
        <f>IFERROR(__xludf.DUMMYFUNCTION("IF(X$6="""", """", IFERROR(ROWS(FILTER('기록'!$F:$F, ('기록'!$D:$D=X$6) * ('기록'!$F:$F=4) * (IF($A$2=""전체"", TRUE, (YEAR('기록'!$A:$A)&amp;"""")=$A$2)))) / X$7, ""-""))"),"-")</f>
        <v>-</v>
      </c>
      <c r="Y11" s="36" t="str">
        <f>IFERROR(__xludf.DUMMYFUNCTION("IF(Y$6="""", """", IFERROR(ROWS(FILTER('기록'!$F:$F, ('기록'!$D:$D=Y$6) * ('기록'!$F:$F=4) * (IF($A$2=""전체"", TRUE, (YEAR('기록'!$A:$A)&amp;"""")=$A$2)))) / Y$7, ""-""))"),"-")</f>
        <v>-</v>
      </c>
      <c r="Z11" s="36" t="str">
        <f>IFERROR(__xludf.DUMMYFUNCTION("IF(Z$6="""", """", IFERROR(ROWS(FILTER('기록'!$F:$F, ('기록'!$D:$D=Z$6) * ('기록'!$F:$F=4) * (IF($A$2=""전체"", TRUE, (YEAR('기록'!$A:$A)&amp;"""")=$A$2)))) / Z$7, ""-""))"),"-")</f>
        <v>-</v>
      </c>
      <c r="AA11" s="36" t="str">
        <f>IFERROR(__xludf.DUMMYFUNCTION("IF(AA$6="""", """", IFERROR(ROWS(FILTER('기록'!$F:$F, ('기록'!$D:$D=AA$6) * ('기록'!$F:$F=4) * (IF($A$2=""전체"", TRUE, (YEAR('기록'!$A:$A)&amp;"""")=$A$2)))) / AA$7, ""-""))"),"-")</f>
        <v>-</v>
      </c>
      <c r="AB11" s="36" t="str">
        <f>IFERROR(__xludf.DUMMYFUNCTION("IF(AB$6="""", """", IFERROR(ROWS(FILTER('기록'!$F:$F, ('기록'!$D:$D=AB$6) * ('기록'!$F:$F=4) * (IF($A$2=""전체"", TRUE, (YEAR('기록'!$A:$A)&amp;"""")=$A$2)))) / AB$7, ""-""))"),"-")</f>
        <v>-</v>
      </c>
      <c r="AC11" s="36">
        <f>IFERROR(__xludf.DUMMYFUNCTION("IF(AC$6="""", """", IFERROR(ROWS(FILTER('기록'!$F:$F, ('기록'!$D:$D=AC$6) * ('기록'!$F:$F=4) * (IF($A$2=""전체"", TRUE, (YEAR('기록'!$A:$A)&amp;"""")=$A$2)))) / AC$7, ""-""))"),0.4444444444444444)</f>
        <v>0.4444444444</v>
      </c>
      <c r="AD11" s="36" t="str">
        <f>IFERROR(__xludf.DUMMYFUNCTION("IF(AD$6="""", """", IFERROR(ROWS(FILTER('기록'!$F:$F, ('기록'!$D:$D=AD$6) * ('기록'!$F:$F=4) * (IF($A$2=""전체"", TRUE, (YEAR('기록'!$A:$A)&amp;"""")=$A$2)))) / AD$7, ""-""))"),"-")</f>
        <v>-</v>
      </c>
      <c r="AE11" s="36" t="str">
        <f>IFERROR(__xludf.DUMMYFUNCTION("IF(AE$6="""", """", IFERROR(ROWS(FILTER('기록'!$F:$F, ('기록'!$D:$D=AE$6) * ('기록'!$F:$F=4) * (IF($A$2=""전체"", TRUE, (YEAR('기록'!$A:$A)&amp;"""")=$A$2)))) / AE$7, ""-""))"),"-")</f>
        <v>-</v>
      </c>
      <c r="AF11" s="36" t="str">
        <f>IFERROR(__xludf.DUMMYFUNCTION("IF(AF$6="""", """", IFERROR(ROWS(FILTER('기록'!$F:$F, ('기록'!$D:$D=AF$6) * ('기록'!$F:$F=4) * (IF($A$2=""전체"", TRUE, (YEAR('기록'!$A:$A)&amp;"""")=$A$2)))) / AF$7, ""-""))"),"-")</f>
        <v>-</v>
      </c>
      <c r="AG11" s="36">
        <f>IFERROR(__xludf.DUMMYFUNCTION("IF(AG$6="""", """", IFERROR(ROWS(FILTER('기록'!$F:$F, ('기록'!$D:$D=AG$6) * ('기록'!$F:$F=4) * (IF($A$2=""전체"", TRUE, (YEAR('기록'!$A:$A)&amp;"""")=$A$2)))) / AG$7, ""-""))"),0.5)</f>
        <v>0.5</v>
      </c>
      <c r="AH11" s="36">
        <f>IFERROR(__xludf.DUMMYFUNCTION("IF(AH$6="""", """", IFERROR(ROWS(FILTER('기록'!$F:$F, ('기록'!$D:$D=AH$6) * ('기록'!$F:$F=4) * (IF($A$2=""전체"", TRUE, (YEAR('기록'!$A:$A)&amp;"""")=$A$2)))) / AH$7, ""-""))"),0.25)</f>
        <v>0.25</v>
      </c>
      <c r="AI11" s="36">
        <f>IFERROR(__xludf.DUMMYFUNCTION("IF(AI$6="""", """", IFERROR(ROWS(FILTER('기록'!$F:$F, ('기록'!$D:$D=AI$6) * ('기록'!$F:$F=4) * (IF($A$2=""전체"", TRUE, (YEAR('기록'!$A:$A)&amp;"""")=$A$2)))) / AI$7, ""-""))"),0.3333333333333333)</f>
        <v>0.3333333333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</row>
    <row r="12">
      <c r="B12" s="35" t="s">
        <v>73</v>
      </c>
      <c r="C12" s="36">
        <f>IFERROR(__xludf.DUMMYFUNCTION("IF(C$6="""", """", IFERROR(ROWS(FILTER('기록'!$E:$E, ('기록'!$D:$D=C$6) * ('기록'!$E:$E &lt; 0) * (IF($A$2=""전체"", TRUE, (YEAR('기록'!$A:$A)&amp;"""")=$A$2)))) / C$7, ""-""))"),0.05)</f>
        <v>0.05</v>
      </c>
      <c r="D12" s="36">
        <f>IFERROR(__xludf.DUMMYFUNCTION("IF(D$6="""", """", IFERROR(ROWS(FILTER('기록'!$E:$E, ('기록'!$D:$D=D$6) * ('기록'!$E:$E &lt; 0) * (IF($A$2=""전체"", TRUE, (YEAR('기록'!$A:$A)&amp;"""")=$A$2)))) / D$7, ""-""))"),0.020833333333333332)</f>
        <v>0.02083333333</v>
      </c>
      <c r="E12" s="36">
        <f>IFERROR(__xludf.DUMMYFUNCTION("IF(E$6="""", """", IFERROR(ROWS(FILTER('기록'!$E:$E, ('기록'!$D:$D=E$6) * ('기록'!$E:$E &lt; 0) * (IF($A$2=""전체"", TRUE, (YEAR('기록'!$A:$A)&amp;"""")=$A$2)))) / E$7, ""-""))"),0.05263157894736842)</f>
        <v>0.05263157895</v>
      </c>
      <c r="F12" s="36">
        <f>IFERROR(__xludf.DUMMYFUNCTION("IF(F$6="""", """", IFERROR(ROWS(FILTER('기록'!$E:$E, ('기록'!$D:$D=F$6) * ('기록'!$E:$E &lt; 0) * (IF($A$2=""전체"", TRUE, (YEAR('기록'!$A:$A)&amp;"""")=$A$2)))) / F$7, ""-""))"),0.10714285714285714)</f>
        <v>0.1071428571</v>
      </c>
      <c r="G12" s="36">
        <f>IFERROR(__xludf.DUMMYFUNCTION("IF(G$6="""", """", IFERROR(ROWS(FILTER('기록'!$E:$E, ('기록'!$D:$D=G$6) * ('기록'!$E:$E &lt; 0) * (IF($A$2=""전체"", TRUE, (YEAR('기록'!$A:$A)&amp;"""")=$A$2)))) / G$7, ""-""))"),0.10526315789473684)</f>
        <v>0.1052631579</v>
      </c>
      <c r="H12" s="36">
        <f>IFERROR(__xludf.DUMMYFUNCTION("IF(H$6="""", """", IFERROR(ROWS(FILTER('기록'!$E:$E, ('기록'!$D:$D=H$6) * ('기록'!$E:$E &lt; 0) * (IF($A$2=""전체"", TRUE, (YEAR('기록'!$A:$A)&amp;"""")=$A$2)))) / H$7, ""-""))"),0.1)</f>
        <v>0.1</v>
      </c>
      <c r="I12" s="36">
        <f>IFERROR(__xludf.DUMMYFUNCTION("IF(I$6="""", """", IFERROR(ROWS(FILTER('기록'!$E:$E, ('기록'!$D:$D=I$6) * ('기록'!$E:$E &lt; 0) * (IF($A$2=""전체"", TRUE, (YEAR('기록'!$A:$A)&amp;"""")=$A$2)))) / I$7, ""-""))"),0.14285714285714285)</f>
        <v>0.1428571429</v>
      </c>
      <c r="J12" s="36" t="str">
        <f>IFERROR(__xludf.DUMMYFUNCTION("IF(J$6="""", """", IFERROR(ROWS(FILTER('기록'!$E:$E, ('기록'!$D:$D=J$6) * ('기록'!$E:$E &lt; 0) * (IF($A$2=""전체"", TRUE, (YEAR('기록'!$A:$A)&amp;"""")=$A$2)))) / J$7, ""-""))"),"-")</f>
        <v>-</v>
      </c>
      <c r="K12" s="36">
        <f>IFERROR(__xludf.DUMMYFUNCTION("IF(K$6="""", """", IFERROR(ROWS(FILTER('기록'!$E:$E, ('기록'!$D:$D=K$6) * ('기록'!$E:$E &lt; 0) * (IF($A$2=""전체"", TRUE, (YEAR('기록'!$A:$A)&amp;"""")=$A$2)))) / K$7, ""-""))"),0.42857142857142855)</f>
        <v>0.4285714286</v>
      </c>
      <c r="L12" s="36">
        <f>IFERROR(__xludf.DUMMYFUNCTION("IF(L$6="""", """", IFERROR(ROWS(FILTER('기록'!$E:$E, ('기록'!$D:$D=L$6) * ('기록'!$E:$E &lt; 0) * (IF($A$2=""전체"", TRUE, (YEAR('기록'!$A:$A)&amp;"""")=$A$2)))) / L$7, ""-""))"),0.058823529411764705)</f>
        <v>0.05882352941</v>
      </c>
      <c r="M12" s="36">
        <f>IFERROR(__xludf.DUMMYFUNCTION("IF(M$6="""", """", IFERROR(ROWS(FILTER('기록'!$E:$E, ('기록'!$D:$D=M$6) * ('기록'!$E:$E &lt; 0) * (IF($A$2=""전체"", TRUE, (YEAR('기록'!$A:$A)&amp;"""")=$A$2)))) / M$7, ""-""))"),0.02702702702702703)</f>
        <v>0.02702702703</v>
      </c>
      <c r="N12" s="36" t="str">
        <f>IFERROR(__xludf.DUMMYFUNCTION("IF(N$6="""", """", IFERROR(ROWS(FILTER('기록'!$E:$E, ('기록'!$D:$D=N$6) * ('기록'!$E:$E &lt; 0) * (IF($A$2=""전체"", TRUE, (YEAR('기록'!$A:$A)&amp;"""")=$A$2)))) / N$7, ""-""))"),"-")</f>
        <v>-</v>
      </c>
      <c r="O12" s="36">
        <f>IFERROR(__xludf.DUMMYFUNCTION("IF(O$6="""", """", IFERROR(ROWS(FILTER('기록'!$E:$E, ('기록'!$D:$D=O$6) * ('기록'!$E:$E &lt; 0) * (IF($A$2=""전체"", TRUE, (YEAR('기록'!$A:$A)&amp;"""")=$A$2)))) / O$7, ""-""))"),0.2)</f>
        <v>0.2</v>
      </c>
      <c r="P12" s="36" t="str">
        <f>IFERROR(__xludf.DUMMYFUNCTION("IF(P$6="""", """", IFERROR(ROWS(FILTER('기록'!$E:$E, ('기록'!$D:$D=P$6) * ('기록'!$E:$E &lt; 0) * (IF($A$2=""전체"", TRUE, (YEAR('기록'!$A:$A)&amp;"""")=$A$2)))) / P$7, ""-""))"),"-")</f>
        <v>-</v>
      </c>
      <c r="Q12" s="36" t="str">
        <f>IFERROR(__xludf.DUMMYFUNCTION("IF(Q$6="""", """", IFERROR(ROWS(FILTER('기록'!$E:$E, ('기록'!$D:$D=Q$6) * ('기록'!$E:$E &lt; 0) * (IF($A$2=""전체"", TRUE, (YEAR('기록'!$A:$A)&amp;"""")=$A$2)))) / Q$7, ""-""))"),"-")</f>
        <v>-</v>
      </c>
      <c r="R12" s="36" t="str">
        <f>IFERROR(__xludf.DUMMYFUNCTION("IF(R$6="""", """", IFERROR(ROWS(FILTER('기록'!$E:$E, ('기록'!$D:$D=R$6) * ('기록'!$E:$E &lt; 0) * (IF($A$2=""전체"", TRUE, (YEAR('기록'!$A:$A)&amp;"""")=$A$2)))) / R$7, ""-""))"),"-")</f>
        <v>-</v>
      </c>
      <c r="S12" s="36" t="str">
        <f>IFERROR(__xludf.DUMMYFUNCTION("IF(S$6="""", """", IFERROR(ROWS(FILTER('기록'!$E:$E, ('기록'!$D:$D=S$6) * ('기록'!$E:$E &lt; 0) * (IF($A$2=""전체"", TRUE, (YEAR('기록'!$A:$A)&amp;"""")=$A$2)))) / S$7, ""-""))"),"-")</f>
        <v>-</v>
      </c>
      <c r="T12" s="36" t="str">
        <f>IFERROR(__xludf.DUMMYFUNCTION("IF(T$6="""", """", IFERROR(ROWS(FILTER('기록'!$E:$E, ('기록'!$D:$D=T$6) * ('기록'!$E:$E &lt; 0) * (IF($A$2=""전체"", TRUE, (YEAR('기록'!$A:$A)&amp;"""")=$A$2)))) / T$7, ""-""))"),"-")</f>
        <v>-</v>
      </c>
      <c r="U12" s="36" t="str">
        <f>IFERROR(__xludf.DUMMYFUNCTION("IF(U$6="""", """", IFERROR(ROWS(FILTER('기록'!$E:$E, ('기록'!$D:$D=U$6) * ('기록'!$E:$E &lt; 0) * (IF($A$2=""전체"", TRUE, (YEAR('기록'!$A:$A)&amp;"""")=$A$2)))) / U$7, ""-""))"),"-")</f>
        <v>-</v>
      </c>
      <c r="V12" s="36" t="str">
        <f>IFERROR(__xludf.DUMMYFUNCTION("IF(V$6="""", """", IFERROR(ROWS(FILTER('기록'!$E:$E, ('기록'!$D:$D=V$6) * ('기록'!$E:$E &lt; 0) * (IF($A$2=""전체"", TRUE, (YEAR('기록'!$A:$A)&amp;"""")=$A$2)))) / V$7, ""-""))"),"-")</f>
        <v>-</v>
      </c>
      <c r="W12" s="36" t="str">
        <f>IFERROR(__xludf.DUMMYFUNCTION("IF(W$6="""", """", IFERROR(ROWS(FILTER('기록'!$E:$E, ('기록'!$D:$D=W$6) * ('기록'!$E:$E &lt; 0) * (IF($A$2=""전체"", TRUE, (YEAR('기록'!$A:$A)&amp;"""")=$A$2)))) / W$7, ""-""))"),"-")</f>
        <v>-</v>
      </c>
      <c r="X12" s="36" t="str">
        <f>IFERROR(__xludf.DUMMYFUNCTION("IF(X$6="""", """", IFERROR(ROWS(FILTER('기록'!$E:$E, ('기록'!$D:$D=X$6) * ('기록'!$E:$E &lt; 0) * (IF($A$2=""전체"", TRUE, (YEAR('기록'!$A:$A)&amp;"""")=$A$2)))) / X$7, ""-""))"),"-")</f>
        <v>-</v>
      </c>
      <c r="Y12" s="36" t="str">
        <f>IFERROR(__xludf.DUMMYFUNCTION("IF(Y$6="""", """", IFERROR(ROWS(FILTER('기록'!$E:$E, ('기록'!$D:$D=Y$6) * ('기록'!$E:$E &lt; 0) * (IF($A$2=""전체"", TRUE, (YEAR('기록'!$A:$A)&amp;"""")=$A$2)))) / Y$7, ""-""))"),"-")</f>
        <v>-</v>
      </c>
      <c r="Z12" s="36" t="str">
        <f>IFERROR(__xludf.DUMMYFUNCTION("IF(Z$6="""", """", IFERROR(ROWS(FILTER('기록'!$E:$E, ('기록'!$D:$D=Z$6) * ('기록'!$E:$E &lt; 0) * (IF($A$2=""전체"", TRUE, (YEAR('기록'!$A:$A)&amp;"""")=$A$2)))) / Z$7, ""-""))"),"-")</f>
        <v>-</v>
      </c>
      <c r="AA12" s="36" t="str">
        <f>IFERROR(__xludf.DUMMYFUNCTION("IF(AA$6="""", """", IFERROR(ROWS(FILTER('기록'!$E:$E, ('기록'!$D:$D=AA$6) * ('기록'!$E:$E &lt; 0) * (IF($A$2=""전체"", TRUE, (YEAR('기록'!$A:$A)&amp;"""")=$A$2)))) / AA$7, ""-""))"),"-")</f>
        <v>-</v>
      </c>
      <c r="AB12" s="36" t="str">
        <f>IFERROR(__xludf.DUMMYFUNCTION("IF(AB$6="""", """", IFERROR(ROWS(FILTER('기록'!$E:$E, ('기록'!$D:$D=AB$6) * ('기록'!$E:$E &lt; 0) * (IF($A$2=""전체"", TRUE, (YEAR('기록'!$A:$A)&amp;"""")=$A$2)))) / AB$7, ""-""))"),"-")</f>
        <v>-</v>
      </c>
      <c r="AC12" s="36">
        <f>IFERROR(__xludf.DUMMYFUNCTION("IF(AC$6="""", """", IFERROR(ROWS(FILTER('기록'!$E:$E, ('기록'!$D:$D=AC$6) * ('기록'!$E:$E &lt; 0) * (IF($A$2=""전체"", TRUE, (YEAR('기록'!$A:$A)&amp;"""")=$A$2)))) / AC$7, ""-""))"),0.1111111111111111)</f>
        <v>0.1111111111</v>
      </c>
      <c r="AD12" s="36" t="str">
        <f>IFERROR(__xludf.DUMMYFUNCTION("IF(AD$6="""", """", IFERROR(ROWS(FILTER('기록'!$E:$E, ('기록'!$D:$D=AD$6) * ('기록'!$E:$E &lt; 0) * (IF($A$2=""전체"", TRUE, (YEAR('기록'!$A:$A)&amp;"""")=$A$2)))) / AD$7, ""-""))"),"-")</f>
        <v>-</v>
      </c>
      <c r="AE12" s="36" t="str">
        <f>IFERROR(__xludf.DUMMYFUNCTION("IF(AE$6="""", """", IFERROR(ROWS(FILTER('기록'!$E:$E, ('기록'!$D:$D=AE$6) * ('기록'!$E:$E &lt; 0) * (IF($A$2=""전체"", TRUE, (YEAR('기록'!$A:$A)&amp;"""")=$A$2)))) / AE$7, ""-""))"),"-")</f>
        <v>-</v>
      </c>
      <c r="AF12" s="36" t="str">
        <f>IFERROR(__xludf.DUMMYFUNCTION("IF(AF$6="""", """", IFERROR(ROWS(FILTER('기록'!$E:$E, ('기록'!$D:$D=AF$6) * ('기록'!$E:$E &lt; 0) * (IF($A$2=""전체"", TRUE, (YEAR('기록'!$A:$A)&amp;"""")=$A$2)))) / AF$7, ""-""))"),"-")</f>
        <v>-</v>
      </c>
      <c r="AG12" s="36">
        <f>IFERROR(__xludf.DUMMYFUNCTION("IF(AG$6="""", """", IFERROR(ROWS(FILTER('기록'!$E:$E, ('기록'!$D:$D=AG$6) * ('기록'!$E:$E &lt; 0) * (IF($A$2=""전체"", TRUE, (YEAR('기록'!$A:$A)&amp;"""")=$A$2)))) / AG$7, ""-""))"),0.25)</f>
        <v>0.25</v>
      </c>
      <c r="AH12" s="36" t="str">
        <f>IFERROR(__xludf.DUMMYFUNCTION("IF(AH$6="""", """", IFERROR(ROWS(FILTER('기록'!$E:$E, ('기록'!$D:$D=AH$6) * ('기록'!$E:$E &lt; 0) * (IF($A$2=""전체"", TRUE, (YEAR('기록'!$A:$A)&amp;"""")=$A$2)))) / AH$7, ""-""))"),"-")</f>
        <v>-</v>
      </c>
      <c r="AI12" s="36">
        <f>IFERROR(__xludf.DUMMYFUNCTION("IF(AI$6="""", """", IFERROR(ROWS(FILTER('기록'!$E:$E, ('기록'!$D:$D=AI$6) * ('기록'!$E:$E &lt; 0) * (IF($A$2=""전체"", TRUE, (YEAR('기록'!$A:$A)&amp;"""")=$A$2)))) / AI$7, ""-""))"),0.16666666666666666)</f>
        <v>0.1666666667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</row>
    <row r="13">
      <c r="B13" s="35" t="s">
        <v>74</v>
      </c>
      <c r="C13" s="36">
        <f>IFERROR(__xludf.DUMMYFUNCTION("IF(C$6="""", """", IFERROR(ROWS(FILTER('기록'!$F:$F, ('기록'!$D:$D=C$6) * ('기록'!$F:$F&lt;=2) * (IF($A$2=""전체"", TRUE, (YEAR('기록'!$A:$A)&amp;"""")=$A$2)))) / C$7, ""-""))"),0.55)</f>
        <v>0.55</v>
      </c>
      <c r="D13" s="36">
        <f>IFERROR(__xludf.DUMMYFUNCTION("IF(D$6="""", """", IFERROR(ROWS(FILTER('기록'!$F:$F, ('기록'!$D:$D=D$6) * ('기록'!$F:$F&lt;=2) * (IF($A$2=""전체"", TRUE, (YEAR('기록'!$A:$A)&amp;"""")=$A$2)))) / D$7, ""-""))"),0.5833333333333334)</f>
        <v>0.5833333333</v>
      </c>
      <c r="E13" s="36">
        <f>IFERROR(__xludf.DUMMYFUNCTION("IF(E$6="""", """", IFERROR(ROWS(FILTER('기록'!$F:$F, ('기록'!$D:$D=E$6) * ('기록'!$F:$F&lt;=2) * (IF($A$2=""전체"", TRUE, (YEAR('기록'!$A:$A)&amp;"""")=$A$2)))) / E$7, ""-""))"),0.47368421052631576)</f>
        <v>0.4736842105</v>
      </c>
      <c r="F13" s="36">
        <f>IFERROR(__xludf.DUMMYFUNCTION("IF(F$6="""", """", IFERROR(ROWS(FILTER('기록'!$F:$F, ('기록'!$D:$D=F$6) * ('기록'!$F:$F&lt;=2) * (IF($A$2=""전체"", TRUE, (YEAR('기록'!$A:$A)&amp;"""")=$A$2)))) / F$7, ""-""))"),0.42857142857142855)</f>
        <v>0.4285714286</v>
      </c>
      <c r="G13" s="36">
        <f>IFERROR(__xludf.DUMMYFUNCTION("IF(G$6="""", """", IFERROR(ROWS(FILTER('기록'!$F:$F, ('기록'!$D:$D=G$6) * ('기록'!$F:$F&lt;=2) * (IF($A$2=""전체"", TRUE, (YEAR('기록'!$A:$A)&amp;"""")=$A$2)))) / G$7, ""-""))"),0.5263157894736842)</f>
        <v>0.5263157895</v>
      </c>
      <c r="H13" s="36">
        <f>IFERROR(__xludf.DUMMYFUNCTION("IF(H$6="""", """", IFERROR(ROWS(FILTER('기록'!$F:$F, ('기록'!$D:$D=H$6) * ('기록'!$F:$F&lt;=2) * (IF($A$2=""전체"", TRUE, (YEAR('기록'!$A:$A)&amp;"""")=$A$2)))) / H$7, ""-""))"),0.4)</f>
        <v>0.4</v>
      </c>
      <c r="I13" s="36">
        <f>IFERROR(__xludf.DUMMYFUNCTION("IF(I$6="""", """", IFERROR(ROWS(FILTER('기록'!$F:$F, ('기록'!$D:$D=I$6) * ('기록'!$F:$F&lt;=2) * (IF($A$2=""전체"", TRUE, (YEAR('기록'!$A:$A)&amp;"""")=$A$2)))) / I$7, ""-""))"),0.42857142857142855)</f>
        <v>0.4285714286</v>
      </c>
      <c r="J13" s="36" t="str">
        <f>IFERROR(__xludf.DUMMYFUNCTION("IF(J$6="""", """", IFERROR(ROWS(FILTER('기록'!$F:$F, ('기록'!$D:$D=J$6) * ('기록'!$F:$F&lt;=2) * (IF($A$2=""전체"", TRUE, (YEAR('기록'!$A:$A)&amp;"""")=$A$2)))) / J$7, ""-""))"),"-")</f>
        <v>-</v>
      </c>
      <c r="K13" s="36">
        <f>IFERROR(__xludf.DUMMYFUNCTION("IF(K$6="""", """", IFERROR(ROWS(FILTER('기록'!$F:$F, ('기록'!$D:$D=K$6) * ('기록'!$F:$F&lt;=2) * (IF($A$2=""전체"", TRUE, (YEAR('기록'!$A:$A)&amp;"""")=$A$2)))) / K$7, ""-""))"),0.5714285714285714)</f>
        <v>0.5714285714</v>
      </c>
      <c r="L13" s="36">
        <f>IFERROR(__xludf.DUMMYFUNCTION("IF(L$6="""", """", IFERROR(ROWS(FILTER('기록'!$F:$F, ('기록'!$D:$D=L$6) * ('기록'!$F:$F&lt;=2) * (IF($A$2=""전체"", TRUE, (YEAR('기록'!$A:$A)&amp;"""")=$A$2)))) / L$7, ""-""))"),0.5882352941176471)</f>
        <v>0.5882352941</v>
      </c>
      <c r="M13" s="36">
        <f>IFERROR(__xludf.DUMMYFUNCTION("IF(M$6="""", """", IFERROR(ROWS(FILTER('기록'!$F:$F, ('기록'!$D:$D=M$6) * ('기록'!$F:$F&lt;=2) * (IF($A$2=""전체"", TRUE, (YEAR('기록'!$A:$A)&amp;"""")=$A$2)))) / M$7, ""-""))"),0.5945945945945946)</f>
        <v>0.5945945946</v>
      </c>
      <c r="N13" s="36" t="str">
        <f>IFERROR(__xludf.DUMMYFUNCTION("IF(N$6="""", """", IFERROR(ROWS(FILTER('기록'!$F:$F, ('기록'!$D:$D=N$6) * ('기록'!$F:$F&lt;=2) * (IF($A$2=""전체"", TRUE, (YEAR('기록'!$A:$A)&amp;"""")=$A$2)))) / N$7, ""-""))"),"-")</f>
        <v>-</v>
      </c>
      <c r="O13" s="36">
        <f>IFERROR(__xludf.DUMMYFUNCTION("IF(O$6="""", """", IFERROR(ROWS(FILTER('기록'!$F:$F, ('기록'!$D:$D=O$6) * ('기록'!$F:$F&lt;=2) * (IF($A$2=""전체"", TRUE, (YEAR('기록'!$A:$A)&amp;"""")=$A$2)))) / O$7, ""-""))"),0.2)</f>
        <v>0.2</v>
      </c>
      <c r="P13" s="36" t="str">
        <f>IFERROR(__xludf.DUMMYFUNCTION("IF(P$6="""", """", IFERROR(ROWS(FILTER('기록'!$F:$F, ('기록'!$D:$D=P$6) * ('기록'!$F:$F&lt;=2) * (IF($A$2=""전체"", TRUE, (YEAR('기록'!$A:$A)&amp;"""")=$A$2)))) / P$7, ""-""))"),"-")</f>
        <v>-</v>
      </c>
      <c r="Q13" s="36" t="str">
        <f>IFERROR(__xludf.DUMMYFUNCTION("IF(Q$6="""", """", IFERROR(ROWS(FILTER('기록'!$F:$F, ('기록'!$D:$D=Q$6) * ('기록'!$F:$F&lt;=2) * (IF($A$2=""전체"", TRUE, (YEAR('기록'!$A:$A)&amp;"""")=$A$2)))) / Q$7, ""-""))"),"-")</f>
        <v>-</v>
      </c>
      <c r="R13" s="36" t="str">
        <f>IFERROR(__xludf.DUMMYFUNCTION("IF(R$6="""", """", IFERROR(ROWS(FILTER('기록'!$F:$F, ('기록'!$D:$D=R$6) * ('기록'!$F:$F&lt;=2) * (IF($A$2=""전체"", TRUE, (YEAR('기록'!$A:$A)&amp;"""")=$A$2)))) / R$7, ""-""))"),"-")</f>
        <v>-</v>
      </c>
      <c r="S13" s="36" t="str">
        <f>IFERROR(__xludf.DUMMYFUNCTION("IF(S$6="""", """", IFERROR(ROWS(FILTER('기록'!$F:$F, ('기록'!$D:$D=S$6) * ('기록'!$F:$F&lt;=2) * (IF($A$2=""전체"", TRUE, (YEAR('기록'!$A:$A)&amp;"""")=$A$2)))) / S$7, ""-""))"),"-")</f>
        <v>-</v>
      </c>
      <c r="T13" s="36" t="str">
        <f>IFERROR(__xludf.DUMMYFUNCTION("IF(T$6="""", """", IFERROR(ROWS(FILTER('기록'!$F:$F, ('기록'!$D:$D=T$6) * ('기록'!$F:$F&lt;=2) * (IF($A$2=""전체"", TRUE, (YEAR('기록'!$A:$A)&amp;"""")=$A$2)))) / T$7, ""-""))"),"-")</f>
        <v>-</v>
      </c>
      <c r="U13" s="36" t="str">
        <f>IFERROR(__xludf.DUMMYFUNCTION("IF(U$6="""", """", IFERROR(ROWS(FILTER('기록'!$F:$F, ('기록'!$D:$D=U$6) * ('기록'!$F:$F&lt;=2) * (IF($A$2=""전체"", TRUE, (YEAR('기록'!$A:$A)&amp;"""")=$A$2)))) / U$7, ""-""))"),"-")</f>
        <v>-</v>
      </c>
      <c r="V13" s="36">
        <f>IFERROR(__xludf.DUMMYFUNCTION("IF(V$6="""", """", IFERROR(ROWS(FILTER('기록'!$F:$F, ('기록'!$D:$D=V$6) * ('기록'!$F:$F&lt;=2) * (IF($A$2=""전체"", TRUE, (YEAR('기록'!$A:$A)&amp;"""")=$A$2)))) / V$7, ""-""))"),0.4166666666666667)</f>
        <v>0.4166666667</v>
      </c>
      <c r="W13" s="36" t="str">
        <f>IFERROR(__xludf.DUMMYFUNCTION("IF(W$6="""", """", IFERROR(ROWS(FILTER('기록'!$F:$F, ('기록'!$D:$D=W$6) * ('기록'!$F:$F&lt;=2) * (IF($A$2=""전체"", TRUE, (YEAR('기록'!$A:$A)&amp;"""")=$A$2)))) / W$7, ""-""))"),"-")</f>
        <v>-</v>
      </c>
      <c r="X13" s="36" t="str">
        <f>IFERROR(__xludf.DUMMYFUNCTION("IF(X$6="""", """", IFERROR(ROWS(FILTER('기록'!$F:$F, ('기록'!$D:$D=X$6) * ('기록'!$F:$F&lt;=2) * (IF($A$2=""전체"", TRUE, (YEAR('기록'!$A:$A)&amp;"""")=$A$2)))) / X$7, ""-""))"),"-")</f>
        <v>-</v>
      </c>
      <c r="Y13" s="36" t="str">
        <f>IFERROR(__xludf.DUMMYFUNCTION("IF(Y$6="""", """", IFERROR(ROWS(FILTER('기록'!$F:$F, ('기록'!$D:$D=Y$6) * ('기록'!$F:$F&lt;=2) * (IF($A$2=""전체"", TRUE, (YEAR('기록'!$A:$A)&amp;"""")=$A$2)))) / Y$7, ""-""))"),"-")</f>
        <v>-</v>
      </c>
      <c r="Z13" s="36" t="str">
        <f>IFERROR(__xludf.DUMMYFUNCTION("IF(Z$6="""", """", IFERROR(ROWS(FILTER('기록'!$F:$F, ('기록'!$D:$D=Z$6) * ('기록'!$F:$F&lt;=2) * (IF($A$2=""전체"", TRUE, (YEAR('기록'!$A:$A)&amp;"""")=$A$2)))) / Z$7, ""-""))"),"-")</f>
        <v>-</v>
      </c>
      <c r="AA13" s="36" t="str">
        <f>IFERROR(__xludf.DUMMYFUNCTION("IF(AA$6="""", """", IFERROR(ROWS(FILTER('기록'!$F:$F, ('기록'!$D:$D=AA$6) * ('기록'!$F:$F&lt;=2) * (IF($A$2=""전체"", TRUE, (YEAR('기록'!$A:$A)&amp;"""")=$A$2)))) / AA$7, ""-""))"),"-")</f>
        <v>-</v>
      </c>
      <c r="AB13" s="36" t="str">
        <f>IFERROR(__xludf.DUMMYFUNCTION("IF(AB$6="""", """", IFERROR(ROWS(FILTER('기록'!$F:$F, ('기록'!$D:$D=AB$6) * ('기록'!$F:$F&lt;=2) * (IF($A$2=""전체"", TRUE, (YEAR('기록'!$A:$A)&amp;"""")=$A$2)))) / AB$7, ""-""))"),"-")</f>
        <v>-</v>
      </c>
      <c r="AC13" s="36">
        <f>IFERROR(__xludf.DUMMYFUNCTION("IF(AC$6="""", """", IFERROR(ROWS(FILTER('기록'!$F:$F, ('기록'!$D:$D=AC$6) * ('기록'!$F:$F&lt;=2) * (IF($A$2=""전체"", TRUE, (YEAR('기록'!$A:$A)&amp;"""")=$A$2)))) / AC$7, ""-""))"),0.2222222222222222)</f>
        <v>0.2222222222</v>
      </c>
      <c r="AD13" s="36" t="str">
        <f>IFERROR(__xludf.DUMMYFUNCTION("IF(AD$6="""", """", IFERROR(ROWS(FILTER('기록'!$F:$F, ('기록'!$D:$D=AD$6) * ('기록'!$F:$F&lt;=2) * (IF($A$2=""전체"", TRUE, (YEAR('기록'!$A:$A)&amp;"""")=$A$2)))) / AD$7, ""-""))"),"-")</f>
        <v>-</v>
      </c>
      <c r="AE13" s="36" t="str">
        <f>IFERROR(__xludf.DUMMYFUNCTION("IF(AE$6="""", """", IFERROR(ROWS(FILTER('기록'!$F:$F, ('기록'!$D:$D=AE$6) * ('기록'!$F:$F&lt;=2) * (IF($A$2=""전체"", TRUE, (YEAR('기록'!$A:$A)&amp;"""")=$A$2)))) / AE$7, ""-""))"),"-")</f>
        <v>-</v>
      </c>
      <c r="AF13" s="36" t="str">
        <f>IFERROR(__xludf.DUMMYFUNCTION("IF(AF$6="""", """", IFERROR(ROWS(FILTER('기록'!$F:$F, ('기록'!$D:$D=AF$6) * ('기록'!$F:$F&lt;=2) * (IF($A$2=""전체"", TRUE, (YEAR('기록'!$A:$A)&amp;"""")=$A$2)))) / AF$7, ""-""))"),"-")</f>
        <v>-</v>
      </c>
      <c r="AG13" s="36">
        <f>IFERROR(__xludf.DUMMYFUNCTION("IF(AG$6="""", """", IFERROR(ROWS(FILTER('기록'!$F:$F, ('기록'!$D:$D=AG$6) * ('기록'!$F:$F&lt;=2) * (IF($A$2=""전체"", TRUE, (YEAR('기록'!$A:$A)&amp;"""")=$A$2)))) / AG$7, ""-""))"),0.5)</f>
        <v>0.5</v>
      </c>
      <c r="AH13" s="36">
        <f>IFERROR(__xludf.DUMMYFUNCTION("IF(AH$6="""", """", IFERROR(ROWS(FILTER('기록'!$F:$F, ('기록'!$D:$D=AH$6) * ('기록'!$F:$F&lt;=2) * (IF($A$2=""전체"", TRUE, (YEAR('기록'!$A:$A)&amp;"""")=$A$2)))) / AH$7, ""-""))"),0.4166666666666667)</f>
        <v>0.4166666667</v>
      </c>
      <c r="AI13" s="36">
        <f>IFERROR(__xludf.DUMMYFUNCTION("IF(AI$6="""", """", IFERROR(ROWS(FILTER('기록'!$F:$F, ('기록'!$D:$D=AI$6) * ('기록'!$F:$F&lt;=2) * (IF($A$2=""전체"", TRUE, (YEAR('기록'!$A:$A)&amp;"""")=$A$2)))) / AI$7, ""-""))"),0.3333333333333333)</f>
        <v>0.3333333333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</row>
    <row r="14"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</row>
    <row r="15">
      <c r="B15" s="41" t="s">
        <v>75</v>
      </c>
      <c r="C15" s="42">
        <f>IFERROR(__xludf.DUMMYFUNCTION("IF(C$6="""", """", IFERROR(MAX(FILTER('기록'!$E:$E, ('기록'!$D:$D=C$6) * (IF($A$2=""전체"", TRUE, (YEAR('기록'!$A:$A)&amp;"""")=$A$2)))), ""-""))"),59300.0)</f>
        <v>59300</v>
      </c>
      <c r="D15" s="42">
        <f>IFERROR(__xludf.DUMMYFUNCTION("IF(D$6="""", """", IFERROR(MAX(FILTER('기록'!$E:$E, ('기록'!$D:$D=D$6) * (IF($A$2=""전체"", TRUE, (YEAR('기록'!$A:$A)&amp;"""")=$A$2)))), ""-""))"),55700.0)</f>
        <v>55700</v>
      </c>
      <c r="E15" s="42">
        <f>IFERROR(__xludf.DUMMYFUNCTION("IF(E$6="""", """", IFERROR(MAX(FILTER('기록'!$E:$E, ('기록'!$D:$D=E$6) * (IF($A$2=""전체"", TRUE, (YEAR('기록'!$A:$A)&amp;"""")=$A$2)))), ""-""))"),45400.0)</f>
        <v>45400</v>
      </c>
      <c r="F15" s="42">
        <f>IFERROR(__xludf.DUMMYFUNCTION("IF(F$6="""", """", IFERROR(MAX(FILTER('기록'!$E:$E, ('기록'!$D:$D=F$6) * (IF($A$2=""전체"", TRUE, (YEAR('기록'!$A:$A)&amp;"""")=$A$2)))), ""-""))"),60000.0)</f>
        <v>60000</v>
      </c>
      <c r="G15" s="42">
        <f>IFERROR(__xludf.DUMMYFUNCTION("IF(G$6="""", """", IFERROR(MAX(FILTER('기록'!$E:$E, ('기록'!$D:$D=G$6) * (IF($A$2=""전체"", TRUE, (YEAR('기록'!$A:$A)&amp;"""")=$A$2)))), ""-""))"),53900.0)</f>
        <v>53900</v>
      </c>
      <c r="H15" s="42">
        <f>IFERROR(__xludf.DUMMYFUNCTION("IF(H$6="""", """", IFERROR(MAX(FILTER('기록'!$E:$E, ('기록'!$D:$D=H$6) * (IF($A$2=""전체"", TRUE, (YEAR('기록'!$A:$A)&amp;"""")=$A$2)))), ""-""))"),42600.0)</f>
        <v>42600</v>
      </c>
      <c r="I15" s="42">
        <f>IFERROR(__xludf.DUMMYFUNCTION("IF(I$6="""", """", IFERROR(MAX(FILTER('기록'!$E:$E, ('기록'!$D:$D=I$6) * (IF($A$2=""전체"", TRUE, (YEAR('기록'!$A:$A)&amp;"""")=$A$2)))), ""-""))"),50300.0)</f>
        <v>50300</v>
      </c>
      <c r="J15" s="42" t="str">
        <f>IFERROR(__xludf.DUMMYFUNCTION("IF(J$6="""", """", IFERROR(MAX(FILTER('기록'!$E:$E, ('기록'!$D:$D=J$6) * (IF($A$2=""전체"", TRUE, (YEAR('기록'!$A:$A)&amp;"""")=$A$2)))), ""-""))"),"-")</f>
        <v>-</v>
      </c>
      <c r="K15" s="42">
        <f>IFERROR(__xludf.DUMMYFUNCTION("IF(K$6="""", """", IFERROR(MAX(FILTER('기록'!$E:$E, ('기록'!$D:$D=K$6) * (IF($A$2=""전체"", TRUE, (YEAR('기록'!$A:$A)&amp;"""")=$A$2)))), ""-""))"),41000.0)</f>
        <v>41000</v>
      </c>
      <c r="L15" s="42">
        <f>IFERROR(__xludf.DUMMYFUNCTION("IF(L$6="""", """", IFERROR(MAX(FILTER('기록'!$E:$E, ('기록'!$D:$D=L$6) * (IF($A$2=""전체"", TRUE, (YEAR('기록'!$A:$A)&amp;"""")=$A$2)))), ""-""))"),60100.0)</f>
        <v>60100</v>
      </c>
      <c r="M15" s="42">
        <f>IFERROR(__xludf.DUMMYFUNCTION("IF(M$6="""", """", IFERROR(MAX(FILTER('기록'!$E:$E, ('기록'!$D:$D=M$6) * (IF($A$2=""전체"", TRUE, (YEAR('기록'!$A:$A)&amp;"""")=$A$2)))), ""-""))"),53100.0)</f>
        <v>53100</v>
      </c>
      <c r="N15" s="42" t="str">
        <f>IFERROR(__xludf.DUMMYFUNCTION("IF(N$6="""", """", IFERROR(MAX(FILTER('기록'!$E:$E, ('기록'!$D:$D=N$6) * (IF($A$2=""전체"", TRUE, (YEAR('기록'!$A:$A)&amp;"""")=$A$2)))), ""-""))"),"-")</f>
        <v>-</v>
      </c>
      <c r="O15" s="42">
        <f>IFERROR(__xludf.DUMMYFUNCTION("IF(O$6="""", """", IFERROR(MAX(FILTER('기록'!$E:$E, ('기록'!$D:$D=O$6) * (IF($A$2=""전체"", TRUE, (YEAR('기록'!$A:$A)&amp;"""")=$A$2)))), ""-""))"),26700.0)</f>
        <v>26700</v>
      </c>
      <c r="P15" s="42" t="str">
        <f>IFERROR(__xludf.DUMMYFUNCTION("IF(P$6="""", """", IFERROR(MAX(FILTER('기록'!$E:$E, ('기록'!$D:$D=P$6) * (IF($A$2=""전체"", TRUE, (YEAR('기록'!$A:$A)&amp;"""")=$A$2)))), ""-""))"),"-")</f>
        <v>-</v>
      </c>
      <c r="Q15" s="42" t="str">
        <f>IFERROR(__xludf.DUMMYFUNCTION("IF(Q$6="""", """", IFERROR(MAX(FILTER('기록'!$E:$E, ('기록'!$D:$D=Q$6) * (IF($A$2=""전체"", TRUE, (YEAR('기록'!$A:$A)&amp;"""")=$A$2)))), ""-""))"),"-")</f>
        <v>-</v>
      </c>
      <c r="R15" s="42" t="str">
        <f>IFERROR(__xludf.DUMMYFUNCTION("IF(R$6="""", """", IFERROR(MAX(FILTER('기록'!$E:$E, ('기록'!$D:$D=R$6) * (IF($A$2=""전체"", TRUE, (YEAR('기록'!$A:$A)&amp;"""")=$A$2)))), ""-""))"),"-")</f>
        <v>-</v>
      </c>
      <c r="S15" s="42" t="str">
        <f>IFERROR(__xludf.DUMMYFUNCTION("IF(S$6="""", """", IFERROR(MAX(FILTER('기록'!$E:$E, ('기록'!$D:$D=S$6) * (IF($A$2=""전체"", TRUE, (YEAR('기록'!$A:$A)&amp;"""")=$A$2)))), ""-""))"),"-")</f>
        <v>-</v>
      </c>
      <c r="T15" s="42" t="str">
        <f>IFERROR(__xludf.DUMMYFUNCTION("IF(T$6="""", """", IFERROR(MAX(FILTER('기록'!$E:$E, ('기록'!$D:$D=T$6) * (IF($A$2=""전체"", TRUE, (YEAR('기록'!$A:$A)&amp;"""")=$A$2)))), ""-""))"),"-")</f>
        <v>-</v>
      </c>
      <c r="U15" s="42" t="str">
        <f>IFERROR(__xludf.DUMMYFUNCTION("IF(U$6="""", """", IFERROR(MAX(FILTER('기록'!$E:$E, ('기록'!$D:$D=U$6) * (IF($A$2=""전체"", TRUE, (YEAR('기록'!$A:$A)&amp;"""")=$A$2)))), ""-""))"),"-")</f>
        <v>-</v>
      </c>
      <c r="V15" s="42">
        <f>IFERROR(__xludf.DUMMYFUNCTION("IF(V$6="""", """", IFERROR(MAX(FILTER('기록'!$E:$E, ('기록'!$D:$D=V$6) * (IF($A$2=""전체"", TRUE, (YEAR('기록'!$A:$A)&amp;"""")=$A$2)))), ""-""))"),34500.0)</f>
        <v>34500</v>
      </c>
      <c r="W15" s="42" t="str">
        <f>IFERROR(__xludf.DUMMYFUNCTION("IF(W$6="""", """", IFERROR(MAX(FILTER('기록'!$E:$E, ('기록'!$D:$D=W$6) * (IF($A$2=""전체"", TRUE, (YEAR('기록'!$A:$A)&amp;"""")=$A$2)))), ""-""))"),"-")</f>
        <v>-</v>
      </c>
      <c r="X15" s="42" t="str">
        <f>IFERROR(__xludf.DUMMYFUNCTION("IF(X$6="""", """", IFERROR(MAX(FILTER('기록'!$E:$E, ('기록'!$D:$D=X$6) * (IF($A$2=""전체"", TRUE, (YEAR('기록'!$A:$A)&amp;"""")=$A$2)))), ""-""))"),"-")</f>
        <v>-</v>
      </c>
      <c r="Y15" s="42" t="str">
        <f>IFERROR(__xludf.DUMMYFUNCTION("IF(Y$6="""", """", IFERROR(MAX(FILTER('기록'!$E:$E, ('기록'!$D:$D=Y$6) * (IF($A$2=""전체"", TRUE, (YEAR('기록'!$A:$A)&amp;"""")=$A$2)))), ""-""))"),"-")</f>
        <v>-</v>
      </c>
      <c r="Z15" s="42" t="str">
        <f>IFERROR(__xludf.DUMMYFUNCTION("IF(Z$6="""", """", IFERROR(MAX(FILTER('기록'!$E:$E, ('기록'!$D:$D=Z$6) * (IF($A$2=""전체"", TRUE, (YEAR('기록'!$A:$A)&amp;"""")=$A$2)))), ""-""))"),"-")</f>
        <v>-</v>
      </c>
      <c r="AA15" s="42" t="str">
        <f>IFERROR(__xludf.DUMMYFUNCTION("IF(AA$6="""", """", IFERROR(MAX(FILTER('기록'!$E:$E, ('기록'!$D:$D=AA$6) * (IF($A$2=""전체"", TRUE, (YEAR('기록'!$A:$A)&amp;"""")=$A$2)))), ""-""))"),"-")</f>
        <v>-</v>
      </c>
      <c r="AB15" s="42" t="str">
        <f>IFERROR(__xludf.DUMMYFUNCTION("IF(AB$6="""", """", IFERROR(MAX(FILTER('기록'!$E:$E, ('기록'!$D:$D=AB$6) * (IF($A$2=""전체"", TRUE, (YEAR('기록'!$A:$A)&amp;"""")=$A$2)))), ""-""))"),"-")</f>
        <v>-</v>
      </c>
      <c r="AC15" s="42">
        <f>IFERROR(__xludf.DUMMYFUNCTION("IF(AC$6="""", """", IFERROR(MAX(FILTER('기록'!$E:$E, ('기록'!$D:$D=AC$6) * (IF($A$2=""전체"", TRUE, (YEAR('기록'!$A:$A)&amp;"""")=$A$2)))), ""-""))"),29000.0)</f>
        <v>29000</v>
      </c>
      <c r="AD15" s="42" t="str">
        <f>IFERROR(__xludf.DUMMYFUNCTION("IF(AD$6="""", """", IFERROR(MAX(FILTER('기록'!$E:$E, ('기록'!$D:$D=AD$6) * (IF($A$2=""전체"", TRUE, (YEAR('기록'!$A:$A)&amp;"""")=$A$2)))), ""-""))"),"-")</f>
        <v>-</v>
      </c>
      <c r="AE15" s="42" t="str">
        <f>IFERROR(__xludf.DUMMYFUNCTION("IF(AE$6="""", """", IFERROR(MAX(FILTER('기록'!$E:$E, ('기록'!$D:$D=AE$6) * (IF($A$2=""전체"", TRUE, (YEAR('기록'!$A:$A)&amp;"""")=$A$2)))), ""-""))"),"-")</f>
        <v>-</v>
      </c>
      <c r="AF15" s="42" t="str">
        <f>IFERROR(__xludf.DUMMYFUNCTION("IF(AF$6="""", """", IFERROR(MAX(FILTER('기록'!$E:$E, ('기록'!$D:$D=AF$6) * (IF($A$2=""전체"", TRUE, (YEAR('기록'!$A:$A)&amp;"""")=$A$2)))), ""-""))"),"-")</f>
        <v>-</v>
      </c>
      <c r="AG15" s="42">
        <f>IFERROR(__xludf.DUMMYFUNCTION("IF(AG$6="""", """", IFERROR(MAX(FILTER('기록'!$E:$E, ('기록'!$D:$D=AG$6) * (IF($A$2=""전체"", TRUE, (YEAR('기록'!$A:$A)&amp;"""")=$A$2)))), ""-""))"),47000.0)</f>
        <v>47000</v>
      </c>
      <c r="AH15" s="42">
        <f>IFERROR(__xludf.DUMMYFUNCTION("IF(AH$6="""", """", IFERROR(MAX(FILTER('기록'!$E:$E, ('기록'!$D:$D=AH$6) * (IF($A$2=""전체"", TRUE, (YEAR('기록'!$A:$A)&amp;"""")=$A$2)))), ""-""))"),74500.0)</f>
        <v>74500</v>
      </c>
      <c r="AI15" s="42">
        <f>IFERROR(__xludf.DUMMYFUNCTION("IF(AI$6="""", """", IFERROR(MAX(FILTER('기록'!$E:$E, ('기록'!$D:$D=AI$6) * (IF($A$2=""전체"", TRUE, (YEAR('기록'!$A:$A)&amp;"""")=$A$2)))), ""-""))"),45700.0)</f>
        <v>45700</v>
      </c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</row>
    <row r="16">
      <c r="B16" s="41" t="s">
        <v>76</v>
      </c>
      <c r="C16" s="42">
        <f>IFERROR(__xludf.DUMMYFUNCTION("IF(C$6="""", """", IFERROR(MIN(FILTER('기록'!$E:$E, ('기록'!$D:$D=C$6) * (IF($A$2=""전체"", TRUE, (YEAR('기록'!$A:$A)&amp;"""")=$A$2)))), ""-""))"),-2600.0)</f>
        <v>-2600</v>
      </c>
      <c r="D16" s="42">
        <f>IFERROR(__xludf.DUMMYFUNCTION("IF(D$6="""", """", IFERROR(MIN(FILTER('기록'!$E:$E, ('기록'!$D:$D=D$6) * (IF($A$2=""전체"", TRUE, (YEAR('기록'!$A:$A)&amp;"""")=$A$2)))), ""-""))"),-1500.0)</f>
        <v>-1500</v>
      </c>
      <c r="E16" s="42">
        <f>IFERROR(__xludf.DUMMYFUNCTION("IF(E$6="""", """", IFERROR(MIN(FILTER('기록'!$E:$E, ('기록'!$D:$D=E$6) * (IF($A$2=""전체"", TRUE, (YEAR('기록'!$A:$A)&amp;"""")=$A$2)))), ""-""))"),-100.0)</f>
        <v>-100</v>
      </c>
      <c r="F16" s="42">
        <f>IFERROR(__xludf.DUMMYFUNCTION("IF(F$6="""", """", IFERROR(MIN(FILTER('기록'!$E:$E, ('기록'!$D:$D=F$6) * (IF($A$2=""전체"", TRUE, (YEAR('기록'!$A:$A)&amp;"""")=$A$2)))), ""-""))"),-5700.0)</f>
        <v>-5700</v>
      </c>
      <c r="G16" s="42">
        <f>IFERROR(__xludf.DUMMYFUNCTION("IF(G$6="""", """", IFERROR(MIN(FILTER('기록'!$E:$E, ('기록'!$D:$D=G$6) * (IF($A$2=""전체"", TRUE, (YEAR('기록'!$A:$A)&amp;"""")=$A$2)))), ""-""))"),-1200.0)</f>
        <v>-1200</v>
      </c>
      <c r="H16" s="42">
        <f>IFERROR(__xludf.DUMMYFUNCTION("IF(H$6="""", """", IFERROR(MIN(FILTER('기록'!$E:$E, ('기록'!$D:$D=H$6) * (IF($A$2=""전체"", TRUE, (YEAR('기록'!$A:$A)&amp;"""")=$A$2)))), ""-""))"),-3300.0)</f>
        <v>-3300</v>
      </c>
      <c r="I16" s="42">
        <f>IFERROR(__xludf.DUMMYFUNCTION("IF(I$6="""", """", IFERROR(MIN(FILTER('기록'!$E:$E, ('기록'!$D:$D=I$6) * (IF($A$2=""전체"", TRUE, (YEAR('기록'!$A:$A)&amp;"""")=$A$2)))), ""-""))"),-200.0)</f>
        <v>-200</v>
      </c>
      <c r="J16" s="42" t="str">
        <f>IFERROR(__xludf.DUMMYFUNCTION("IF(J$6="""", """", IFERROR(MIN(FILTER('기록'!$E:$E, ('기록'!$D:$D=J$6) * (IF($A$2=""전체"", TRUE, (YEAR('기록'!$A:$A)&amp;"""")=$A$2)))), ""-""))"),"-")</f>
        <v>-</v>
      </c>
      <c r="K16" s="42">
        <f>IFERROR(__xludf.DUMMYFUNCTION("IF(K$6="""", """", IFERROR(MIN(FILTER('기록'!$E:$E, ('기록'!$D:$D=K$6) * (IF($A$2=""전체"", TRUE, (YEAR('기록'!$A:$A)&amp;"""")=$A$2)))), ""-""))"),-6800.0)</f>
        <v>-6800</v>
      </c>
      <c r="L16" s="42">
        <f>IFERROR(__xludf.DUMMYFUNCTION("IF(L$6="""", """", IFERROR(MIN(FILTER('기록'!$E:$E, ('기록'!$D:$D=L$6) * (IF($A$2=""전체"", TRUE, (YEAR('기록'!$A:$A)&amp;"""")=$A$2)))), ""-""))"),-3200.0)</f>
        <v>-3200</v>
      </c>
      <c r="M16" s="42">
        <f>IFERROR(__xludf.DUMMYFUNCTION("IF(M$6="""", """", IFERROR(MIN(FILTER('기록'!$E:$E, ('기록'!$D:$D=M$6) * (IF($A$2=""전체"", TRUE, (YEAR('기록'!$A:$A)&amp;"""")=$A$2)))), ""-""))"),-3000.0)</f>
        <v>-3000</v>
      </c>
      <c r="N16" s="42" t="str">
        <f>IFERROR(__xludf.DUMMYFUNCTION("IF(N$6="""", """", IFERROR(MIN(FILTER('기록'!$E:$E, ('기록'!$D:$D=N$6) * (IF($A$2=""전체"", TRUE, (YEAR('기록'!$A:$A)&amp;"""")=$A$2)))), ""-""))"),"-")</f>
        <v>-</v>
      </c>
      <c r="O16" s="42">
        <f>IFERROR(__xludf.DUMMYFUNCTION("IF(O$6="""", """", IFERROR(MIN(FILTER('기록'!$E:$E, ('기록'!$D:$D=O$6) * (IF($A$2=""전체"", TRUE, (YEAR('기록'!$A:$A)&amp;"""")=$A$2)))), ""-""))"),-10300.0)</f>
        <v>-10300</v>
      </c>
      <c r="P16" s="42" t="str">
        <f>IFERROR(__xludf.DUMMYFUNCTION("IF(P$6="""", """", IFERROR(MIN(FILTER('기록'!$E:$E, ('기록'!$D:$D=P$6) * (IF($A$2=""전체"", TRUE, (YEAR('기록'!$A:$A)&amp;"""")=$A$2)))), ""-""))"),"-")</f>
        <v>-</v>
      </c>
      <c r="Q16" s="42" t="str">
        <f>IFERROR(__xludf.DUMMYFUNCTION("IF(Q$6="""", """", IFERROR(MIN(FILTER('기록'!$E:$E, ('기록'!$D:$D=Q$6) * (IF($A$2=""전체"", TRUE, (YEAR('기록'!$A:$A)&amp;"""")=$A$2)))), ""-""))"),"-")</f>
        <v>-</v>
      </c>
      <c r="R16" s="42" t="str">
        <f>IFERROR(__xludf.DUMMYFUNCTION("IF(R$6="""", """", IFERROR(MIN(FILTER('기록'!$E:$E, ('기록'!$D:$D=R$6) * (IF($A$2=""전체"", TRUE, (YEAR('기록'!$A:$A)&amp;"""")=$A$2)))), ""-""))"),"-")</f>
        <v>-</v>
      </c>
      <c r="S16" s="42" t="str">
        <f>IFERROR(__xludf.DUMMYFUNCTION("IF(S$6="""", """", IFERROR(MIN(FILTER('기록'!$E:$E, ('기록'!$D:$D=S$6) * (IF($A$2=""전체"", TRUE, (YEAR('기록'!$A:$A)&amp;"""")=$A$2)))), ""-""))"),"-")</f>
        <v>-</v>
      </c>
      <c r="T16" s="42" t="str">
        <f>IFERROR(__xludf.DUMMYFUNCTION("IF(T$6="""", """", IFERROR(MIN(FILTER('기록'!$E:$E, ('기록'!$D:$D=T$6) * (IF($A$2=""전체"", TRUE, (YEAR('기록'!$A:$A)&amp;"""")=$A$2)))), ""-""))"),"-")</f>
        <v>-</v>
      </c>
      <c r="U16" s="42" t="str">
        <f>IFERROR(__xludf.DUMMYFUNCTION("IF(U$6="""", """", IFERROR(MIN(FILTER('기록'!$E:$E, ('기록'!$D:$D=U$6) * (IF($A$2=""전체"", TRUE, (YEAR('기록'!$A:$A)&amp;"""")=$A$2)))), ""-""))"),"-")</f>
        <v>-</v>
      </c>
      <c r="V16" s="42">
        <f>IFERROR(__xludf.DUMMYFUNCTION("IF(V$6="""", """", IFERROR(MIN(FILTER('기록'!$E:$E, ('기록'!$D:$D=V$6) * (IF($A$2=""전체"", TRUE, (YEAR('기록'!$A:$A)&amp;"""")=$A$2)))), ""-""))"),8500.0)</f>
        <v>8500</v>
      </c>
      <c r="W16" s="42" t="str">
        <f>IFERROR(__xludf.DUMMYFUNCTION("IF(W$6="""", """", IFERROR(MIN(FILTER('기록'!$E:$E, ('기록'!$D:$D=W$6) * (IF($A$2=""전체"", TRUE, (YEAR('기록'!$A:$A)&amp;"""")=$A$2)))), ""-""))"),"-")</f>
        <v>-</v>
      </c>
      <c r="X16" s="42" t="str">
        <f>IFERROR(__xludf.DUMMYFUNCTION("IF(X$6="""", """", IFERROR(MIN(FILTER('기록'!$E:$E, ('기록'!$D:$D=X$6) * (IF($A$2=""전체"", TRUE, (YEAR('기록'!$A:$A)&amp;"""")=$A$2)))), ""-""))"),"-")</f>
        <v>-</v>
      </c>
      <c r="Y16" s="42" t="str">
        <f>IFERROR(__xludf.DUMMYFUNCTION("IF(Y$6="""", """", IFERROR(MIN(FILTER('기록'!$E:$E, ('기록'!$D:$D=Y$6) * (IF($A$2=""전체"", TRUE, (YEAR('기록'!$A:$A)&amp;"""")=$A$2)))), ""-""))"),"-")</f>
        <v>-</v>
      </c>
      <c r="Z16" s="42" t="str">
        <f>IFERROR(__xludf.DUMMYFUNCTION("IF(Z$6="""", """", IFERROR(MIN(FILTER('기록'!$E:$E, ('기록'!$D:$D=Z$6) * (IF($A$2=""전체"", TRUE, (YEAR('기록'!$A:$A)&amp;"""")=$A$2)))), ""-""))"),"-")</f>
        <v>-</v>
      </c>
      <c r="AA16" s="42" t="str">
        <f>IFERROR(__xludf.DUMMYFUNCTION("IF(AA$6="""", """", IFERROR(MIN(FILTER('기록'!$E:$E, ('기록'!$D:$D=AA$6) * (IF($A$2=""전체"", TRUE, (YEAR('기록'!$A:$A)&amp;"""")=$A$2)))), ""-""))"),"-")</f>
        <v>-</v>
      </c>
      <c r="AB16" s="42" t="str">
        <f>IFERROR(__xludf.DUMMYFUNCTION("IF(AB$6="""", """", IFERROR(MIN(FILTER('기록'!$E:$E, ('기록'!$D:$D=AB$6) * (IF($A$2=""전체"", TRUE, (YEAR('기록'!$A:$A)&amp;"""")=$A$2)))), ""-""))"),"-")</f>
        <v>-</v>
      </c>
      <c r="AC16" s="42">
        <f>IFERROR(__xludf.DUMMYFUNCTION("IF(AC$6="""", """", IFERROR(MIN(FILTER('기록'!$E:$E, ('기록'!$D:$D=AC$6) * (IF($A$2=""전체"", TRUE, (YEAR('기록'!$A:$A)&amp;"""")=$A$2)))), ""-""))"),-6100.0)</f>
        <v>-6100</v>
      </c>
      <c r="AD16" s="42" t="str">
        <f>IFERROR(__xludf.DUMMYFUNCTION("IF(AD$6="""", """", IFERROR(MIN(FILTER('기록'!$E:$E, ('기록'!$D:$D=AD$6) * (IF($A$2=""전체"", TRUE, (YEAR('기록'!$A:$A)&amp;"""")=$A$2)))), ""-""))"),"-")</f>
        <v>-</v>
      </c>
      <c r="AE16" s="42" t="str">
        <f>IFERROR(__xludf.DUMMYFUNCTION("IF(AE$6="""", """", IFERROR(MIN(FILTER('기록'!$E:$E, ('기록'!$D:$D=AE$6) * (IF($A$2=""전체"", TRUE, (YEAR('기록'!$A:$A)&amp;"""")=$A$2)))), ""-""))"),"-")</f>
        <v>-</v>
      </c>
      <c r="AF16" s="42" t="str">
        <f>IFERROR(__xludf.DUMMYFUNCTION("IF(AF$6="""", """", IFERROR(MIN(FILTER('기록'!$E:$E, ('기록'!$D:$D=AF$6) * (IF($A$2=""전체"", TRUE, (YEAR('기록'!$A:$A)&amp;"""")=$A$2)))), ""-""))"),"-")</f>
        <v>-</v>
      </c>
      <c r="AG16" s="42">
        <f>IFERROR(__xludf.DUMMYFUNCTION("IF(AG$6="""", """", IFERROR(MIN(FILTER('기록'!$E:$E, ('기록'!$D:$D=AG$6) * (IF($A$2=""전체"", TRUE, (YEAR('기록'!$A:$A)&amp;"""")=$A$2)))), ""-""))"),-5700.0)</f>
        <v>-5700</v>
      </c>
      <c r="AH16" s="42">
        <f>IFERROR(__xludf.DUMMYFUNCTION("IF(AH$6="""", """", IFERROR(MIN(FILTER('기록'!$E:$E, ('기록'!$D:$D=AH$6) * (IF($A$2=""전체"", TRUE, (YEAR('기록'!$A:$A)&amp;"""")=$A$2)))), ""-""))"),8800.0)</f>
        <v>8800</v>
      </c>
      <c r="AI16" s="42">
        <f>IFERROR(__xludf.DUMMYFUNCTION("IF(AI$6="""", """", IFERROR(MIN(FILTER('기록'!$E:$E, ('기록'!$D:$D=AI$6) * (IF($A$2=""전체"", TRUE, (YEAR('기록'!$A:$A)&amp;"""")=$A$2)))), ""-""))"),-200.0)</f>
        <v>-200</v>
      </c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</row>
    <row r="17">
      <c r="B17" s="41" t="s">
        <v>77</v>
      </c>
      <c r="C17" s="42">
        <f>IFERROR(__xludf.DUMMYFUNCTION("IF(C$6="""", """", IFERROR(AVERAGE(FILTER('기록'!$E:$E, ('기록'!$D:$D=C$6) * (IF($A$2=""전체"", TRUE, (YEAR('기록'!$A:$A)&amp;"""")=$A$2)))), ""-""))"),25130.0)</f>
        <v>25130</v>
      </c>
      <c r="D17" s="42">
        <f>IFERROR(__xludf.DUMMYFUNCTION("IF(D$6="""", """", IFERROR(AVERAGE(FILTER('기록'!$E:$E, ('기록'!$D:$D=D$6) * (IF($A$2=""전체"", TRUE, (YEAR('기록'!$A:$A)&amp;"""")=$A$2)))), ""-""))"),27939.583333333332)</f>
        <v>27939.58333</v>
      </c>
      <c r="E17" s="42">
        <f>IFERROR(__xludf.DUMMYFUNCTION("IF(E$6="""", """", IFERROR(AVERAGE(FILTER('기록'!$E:$E, ('기록'!$D:$D=E$6) * (IF($A$2=""전체"", TRUE, (YEAR('기록'!$A:$A)&amp;"""")=$A$2)))), ""-""))"),23394.736842105263)</f>
        <v>23394.73684</v>
      </c>
      <c r="F17" s="42">
        <f>IFERROR(__xludf.DUMMYFUNCTION("IF(F$6="""", """", IFERROR(AVERAGE(FILTER('기록'!$E:$E, ('기록'!$D:$D=F$6) * (IF($A$2=""전체"", TRUE, (YEAR('기록'!$A:$A)&amp;"""")=$A$2)))), ""-""))"),23464.285714285714)</f>
        <v>23464.28571</v>
      </c>
      <c r="G17" s="42">
        <f>IFERROR(__xludf.DUMMYFUNCTION("IF(G$6="""", """", IFERROR(AVERAGE(FILTER('기록'!$E:$E, ('기록'!$D:$D=G$6) * (IF($A$2=""전체"", TRUE, (YEAR('기록'!$A:$A)&amp;"""")=$A$2)))), ""-""))"),23405.263157894737)</f>
        <v>23405.26316</v>
      </c>
      <c r="H17" s="42">
        <f>IFERROR(__xludf.DUMMYFUNCTION("IF(H$6="""", """", IFERROR(AVERAGE(FILTER('기록'!$E:$E, ('기록'!$D:$D=H$6) * (IF($A$2=""전체"", TRUE, (YEAR('기록'!$A:$A)&amp;"""")=$A$2)))), ""-""))"),21290.0)</f>
        <v>21290</v>
      </c>
      <c r="I17" s="42">
        <f>IFERROR(__xludf.DUMMYFUNCTION("IF(I$6="""", """", IFERROR(AVERAGE(FILTER('기록'!$E:$E, ('기록'!$D:$D=I$6) * (IF($A$2=""전체"", TRUE, (YEAR('기록'!$A:$A)&amp;"""")=$A$2)))), ""-""))"),26357.14285714286)</f>
        <v>26357.14286</v>
      </c>
      <c r="J17" s="42" t="str">
        <f>IFERROR(__xludf.DUMMYFUNCTION("IF(J$6="""", """", IFERROR(AVERAGE(FILTER('기록'!$E:$E, ('기록'!$D:$D=J$6) * (IF($A$2=""전체"", TRUE, (YEAR('기록'!$A:$A)&amp;"""")=$A$2)))), ""-""))"),"-")</f>
        <v>-</v>
      </c>
      <c r="K17" s="42">
        <f>IFERROR(__xludf.DUMMYFUNCTION("IF(K$6="""", """", IFERROR(AVERAGE(FILTER('기록'!$E:$E, ('기록'!$D:$D=K$6) * (IF($A$2=""전체"", TRUE, (YEAR('기록'!$A:$A)&amp;"""")=$A$2)))), ""-""))"),17871.428571428572)</f>
        <v>17871.42857</v>
      </c>
      <c r="L17" s="42">
        <f>IFERROR(__xludf.DUMMYFUNCTION("IF(L$6="""", """", IFERROR(AVERAGE(FILTER('기록'!$E:$E, ('기록'!$D:$D=L$6) * (IF($A$2=""전체"", TRUE, (YEAR('기록'!$A:$A)&amp;"""")=$A$2)))), ""-""))"),33441.17647058824)</f>
        <v>33441.17647</v>
      </c>
      <c r="M17" s="42">
        <f>IFERROR(__xludf.DUMMYFUNCTION("IF(M$6="""", """", IFERROR(AVERAGE(FILTER('기록'!$E:$E, ('기록'!$D:$D=M$6) * (IF($A$2=""전체"", TRUE, (YEAR('기록'!$A:$A)&amp;"""")=$A$2)))), ""-""))"),28810.81081081081)</f>
        <v>28810.81081</v>
      </c>
      <c r="N17" s="42" t="str">
        <f>IFERROR(__xludf.DUMMYFUNCTION("IF(N$6="""", """", IFERROR(AVERAGE(FILTER('기록'!$E:$E, ('기록'!$D:$D=N$6) * (IF($A$2=""전체"", TRUE, (YEAR('기록'!$A:$A)&amp;"""")=$A$2)))), ""-""))"),"-")</f>
        <v>-</v>
      </c>
      <c r="O17" s="42">
        <f>IFERROR(__xludf.DUMMYFUNCTION("IF(O$6="""", """", IFERROR(AVERAGE(FILTER('기록'!$E:$E, ('기록'!$D:$D=O$6) * (IF($A$2=""전체"", TRUE, (YEAR('기록'!$A:$A)&amp;"""")=$A$2)))), ""-""))"),10880.0)</f>
        <v>10880</v>
      </c>
      <c r="P17" s="42" t="str">
        <f>IFERROR(__xludf.DUMMYFUNCTION("IF(P$6="""", """", IFERROR(AVERAGE(FILTER('기록'!$E:$E, ('기록'!$D:$D=P$6) * (IF($A$2=""전체"", TRUE, (YEAR('기록'!$A:$A)&amp;"""")=$A$2)))), ""-""))"),"-")</f>
        <v>-</v>
      </c>
      <c r="Q17" s="42" t="str">
        <f>IFERROR(__xludf.DUMMYFUNCTION("IF(Q$6="""", """", IFERROR(AVERAGE(FILTER('기록'!$E:$E, ('기록'!$D:$D=Q$6) * (IF($A$2=""전체"", TRUE, (YEAR('기록'!$A:$A)&amp;"""")=$A$2)))), ""-""))"),"-")</f>
        <v>-</v>
      </c>
      <c r="R17" s="42" t="str">
        <f>IFERROR(__xludf.DUMMYFUNCTION("IF(R$6="""", """", IFERROR(AVERAGE(FILTER('기록'!$E:$E, ('기록'!$D:$D=R$6) * (IF($A$2=""전체"", TRUE, (YEAR('기록'!$A:$A)&amp;"""")=$A$2)))), ""-""))"),"-")</f>
        <v>-</v>
      </c>
      <c r="S17" s="42" t="str">
        <f>IFERROR(__xludf.DUMMYFUNCTION("IF(S$6="""", """", IFERROR(AVERAGE(FILTER('기록'!$E:$E, ('기록'!$D:$D=S$6) * (IF($A$2=""전체"", TRUE, (YEAR('기록'!$A:$A)&amp;"""")=$A$2)))), ""-""))"),"-")</f>
        <v>-</v>
      </c>
      <c r="T17" s="42" t="str">
        <f>IFERROR(__xludf.DUMMYFUNCTION("IF(T$6="""", """", IFERROR(AVERAGE(FILTER('기록'!$E:$E, ('기록'!$D:$D=T$6) * (IF($A$2=""전체"", TRUE, (YEAR('기록'!$A:$A)&amp;"""")=$A$2)))), ""-""))"),"-")</f>
        <v>-</v>
      </c>
      <c r="U17" s="42" t="str">
        <f>IFERROR(__xludf.DUMMYFUNCTION("IF(U$6="""", """", IFERROR(AVERAGE(FILTER('기록'!$E:$E, ('기록'!$D:$D=U$6) * (IF($A$2=""전체"", TRUE, (YEAR('기록'!$A:$A)&amp;"""")=$A$2)))), ""-""))"),"-")</f>
        <v>-</v>
      </c>
      <c r="V17" s="42">
        <f>IFERROR(__xludf.DUMMYFUNCTION("IF(V$6="""", """", IFERROR(AVERAGE(FILTER('기록'!$E:$E, ('기록'!$D:$D=V$6) * (IF($A$2=""전체"", TRUE, (YEAR('기록'!$A:$A)&amp;"""")=$A$2)))), ""-""))"),22491.666666666668)</f>
        <v>22491.66667</v>
      </c>
      <c r="W17" s="42" t="str">
        <f>IFERROR(__xludf.DUMMYFUNCTION("IF(W$6="""", """", IFERROR(AVERAGE(FILTER('기록'!$E:$E, ('기록'!$D:$D=W$6) * (IF($A$2=""전체"", TRUE, (YEAR('기록'!$A:$A)&amp;"""")=$A$2)))), ""-""))"),"-")</f>
        <v>-</v>
      </c>
      <c r="X17" s="42" t="str">
        <f>IFERROR(__xludf.DUMMYFUNCTION("IF(X$6="""", """", IFERROR(AVERAGE(FILTER('기록'!$E:$E, ('기록'!$D:$D=X$6) * (IF($A$2=""전체"", TRUE, (YEAR('기록'!$A:$A)&amp;"""")=$A$2)))), ""-""))"),"-")</f>
        <v>-</v>
      </c>
      <c r="Y17" s="42" t="str">
        <f>IFERROR(__xludf.DUMMYFUNCTION("IF(Y$6="""", """", IFERROR(AVERAGE(FILTER('기록'!$E:$E, ('기록'!$D:$D=Y$6) * (IF($A$2=""전체"", TRUE, (YEAR('기록'!$A:$A)&amp;"""")=$A$2)))), ""-""))"),"-")</f>
        <v>-</v>
      </c>
      <c r="Z17" s="42" t="str">
        <f>IFERROR(__xludf.DUMMYFUNCTION("IF(Z$6="""", """", IFERROR(AVERAGE(FILTER('기록'!$E:$E, ('기록'!$D:$D=Z$6) * (IF($A$2=""전체"", TRUE, (YEAR('기록'!$A:$A)&amp;"""")=$A$2)))), ""-""))"),"-")</f>
        <v>-</v>
      </c>
      <c r="AA17" s="42" t="str">
        <f>IFERROR(__xludf.DUMMYFUNCTION("IF(AA$6="""", """", IFERROR(AVERAGE(FILTER('기록'!$E:$E, ('기록'!$D:$D=AA$6) * (IF($A$2=""전체"", TRUE, (YEAR('기록'!$A:$A)&amp;"""")=$A$2)))), ""-""))"),"-")</f>
        <v>-</v>
      </c>
      <c r="AB17" s="42" t="str">
        <f>IFERROR(__xludf.DUMMYFUNCTION("IF(AB$6="""", """", IFERROR(AVERAGE(FILTER('기록'!$E:$E, ('기록'!$D:$D=AB$6) * (IF($A$2=""전체"", TRUE, (YEAR('기록'!$A:$A)&amp;"""")=$A$2)))), ""-""))"),"-")</f>
        <v>-</v>
      </c>
      <c r="AC17" s="42">
        <f>IFERROR(__xludf.DUMMYFUNCTION("IF(AC$6="""", """", IFERROR(AVERAGE(FILTER('기록'!$E:$E, ('기록'!$D:$D=AC$6) * (IF($A$2=""전체"", TRUE, (YEAR('기록'!$A:$A)&amp;"""")=$A$2)))), ""-""))"),14233.333333333334)</f>
        <v>14233.33333</v>
      </c>
      <c r="AD17" s="42" t="str">
        <f>IFERROR(__xludf.DUMMYFUNCTION("IF(AD$6="""", """", IFERROR(AVERAGE(FILTER('기록'!$E:$E, ('기록'!$D:$D=AD$6) * (IF($A$2=""전체"", TRUE, (YEAR('기록'!$A:$A)&amp;"""")=$A$2)))), ""-""))"),"-")</f>
        <v>-</v>
      </c>
      <c r="AE17" s="42" t="str">
        <f>IFERROR(__xludf.DUMMYFUNCTION("IF(AE$6="""", """", IFERROR(AVERAGE(FILTER('기록'!$E:$E, ('기록'!$D:$D=AE$6) * (IF($A$2=""전체"", TRUE, (YEAR('기록'!$A:$A)&amp;"""")=$A$2)))), ""-""))"),"-")</f>
        <v>-</v>
      </c>
      <c r="AF17" s="42" t="str">
        <f>IFERROR(__xludf.DUMMYFUNCTION("IF(AF$6="""", """", IFERROR(AVERAGE(FILTER('기록'!$E:$E, ('기록'!$D:$D=AF$6) * (IF($A$2=""전체"", TRUE, (YEAR('기록'!$A:$A)&amp;"""")=$A$2)))), ""-""))"),"-")</f>
        <v>-</v>
      </c>
      <c r="AG17" s="42">
        <f>IFERROR(__xludf.DUMMYFUNCTION("IF(AG$6="""", """", IFERROR(AVERAGE(FILTER('기록'!$E:$E, ('기록'!$D:$D=AG$6) * (IF($A$2=""전체"", TRUE, (YEAR('기록'!$A:$A)&amp;"""")=$A$2)))), ""-""))"),18875.0)</f>
        <v>18875</v>
      </c>
      <c r="AH17" s="42">
        <f>IFERROR(__xludf.DUMMYFUNCTION("IF(AH$6="""", """", IFERROR(AVERAGE(FILTER('기록'!$E:$E, ('기록'!$D:$D=AH$6) * (IF($A$2=""전체"", TRUE, (YEAR('기록'!$A:$A)&amp;"""")=$A$2)))), ""-""))"),26983.333333333332)</f>
        <v>26983.33333</v>
      </c>
      <c r="AI17" s="42">
        <f>IFERROR(__xludf.DUMMYFUNCTION("IF(AI$6="""", """", IFERROR(AVERAGE(FILTER('기록'!$E:$E, ('기록'!$D:$D=AI$6) * (IF($A$2=""전체"", TRUE, (YEAR('기록'!$A:$A)&amp;"""")=$A$2)))), ""-""))"),20983.333333333332)</f>
        <v>20983.33333</v>
      </c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</row>
    <row r="18">
      <c r="A18" s="44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</row>
    <row r="19">
      <c r="A19" s="22"/>
      <c r="B19" s="22" t="s">
        <v>66</v>
      </c>
      <c r="C19" s="47">
        <f>IFERROR(__xludf.DUMMYFUNCTION("IF(C$6="""", """", IFERROR(SUM(FILTER('기록'!$G:$G, ('기록'!$D:$D=C$6) * (IF($A$2=""전체"", TRUE, (YEAR('기록'!$A:$A)&amp;"""")=$A$2)))), ""-""))"),-17.40000000000001)</f>
        <v>-17.4</v>
      </c>
      <c r="D19" s="47">
        <f>IFERROR(__xludf.DUMMYFUNCTION("IF(D$6="""", """", IFERROR(SUM(FILTER('기록'!$G:$G, ('기록'!$D:$D=D$6) * (IF($A$2=""전체"", TRUE, (YEAR('기록'!$A:$A)&amp;"""")=$A$2)))), ""-""))"),421.09999999999985)</f>
        <v>421.1</v>
      </c>
      <c r="E19" s="47">
        <f>IFERROR(__xludf.DUMMYFUNCTION("IF(E$6="""", """", IFERROR(SUM(FILTER('기록'!$G:$G, ('기록'!$D:$D=E$6) * (IF($A$2=""전체"", TRUE, (YEAR('기록'!$A:$A)&amp;"""")=$A$2)))), ""-""))"),-65.50000000000003)</f>
        <v>-65.5</v>
      </c>
      <c r="F19" s="47">
        <f>IFERROR(__xludf.DUMMYFUNCTION("IF(F$6="""", """", IFERROR(SUM(FILTER('기록'!$G:$G, ('기록'!$D:$D=F$6) * (IF($A$2=""전체"", TRUE, (YEAR('기록'!$A:$A)&amp;"""")=$A$2)))), ""-""))"),-172.99999999999997)</f>
        <v>-173</v>
      </c>
      <c r="G19" s="47">
        <f>IFERROR(__xludf.DUMMYFUNCTION("IF(G$6="""", """", IFERROR(SUM(FILTER('기록'!$G:$G, ('기록'!$D:$D=G$6) * (IF($A$2=""전체"", TRUE, (YEAR('기록'!$A:$A)&amp;"""")=$A$2)))), ""-""))"),-105.3)</f>
        <v>-105.3</v>
      </c>
      <c r="H19" s="47">
        <f>IFERROR(__xludf.DUMMYFUNCTION("IF(H$6="""", """", IFERROR(SUM(FILTER('기록'!$G:$G, ('기록'!$D:$D=H$6) * (IF($A$2=""전체"", TRUE, (YEAR('기록'!$A:$A)&amp;"""")=$A$2)))), ""-""))"),-77.09999999999998)</f>
        <v>-77.1</v>
      </c>
      <c r="I19" s="47">
        <f>IFERROR(__xludf.DUMMYFUNCTION("IF(I$6="""", """", IFERROR(SUM(FILTER('기록'!$G:$G, ('기록'!$D:$D=I$6) * (IF($A$2=""전체"", TRUE, (YEAR('기록'!$A:$A)&amp;"""")=$A$2)))), ""-""))"),44.49999999999999)</f>
        <v>44.5</v>
      </c>
      <c r="J19" s="47" t="str">
        <f>IFERROR(__xludf.DUMMYFUNCTION("IF(J$6="""", """", IFERROR(SUM(FILTER('기록'!$G:$G, ('기록'!$D:$D=J$6) * (IF($A$2=""전체"", TRUE, (YEAR('기록'!$A:$A)&amp;"""")=$A$2)))), ""-""))"),"-")</f>
        <v>-</v>
      </c>
      <c r="K19" s="47">
        <f>IFERROR(__xludf.DUMMYFUNCTION("IF(K$6="""", """", IFERROR(SUM(FILTER('기록'!$G:$G, ('기록'!$D:$D=K$6) * (IF($A$2=""전체"", TRUE, (YEAR('기록'!$A:$A)&amp;"""")=$A$2)))), ""-""))"),-44.900000000000006)</f>
        <v>-44.9</v>
      </c>
      <c r="L19" s="47">
        <f>IFERROR(__xludf.DUMMYFUNCTION("IF(L$6="""", """", IFERROR(SUM(FILTER('기록'!$G:$G, ('기록'!$D:$D=L$6) * (IF($A$2=""전체"", TRUE, (YEAR('기록'!$A:$A)&amp;"""")=$A$2)))), ""-""))"),258.5)</f>
        <v>258.5</v>
      </c>
      <c r="M19" s="47">
        <f>IFERROR(__xludf.DUMMYFUNCTION("IF(M$6="""", """", IFERROR(SUM(FILTER('기록'!$G:$G, ('기록'!$D:$D=M$6) * (IF($A$2=""전체"", TRUE, (YEAR('기록'!$A:$A)&amp;"""")=$A$2)))), ""-""))"),376.0)</f>
        <v>376</v>
      </c>
      <c r="N19" s="47" t="str">
        <f>IFERROR(__xludf.DUMMYFUNCTION("IF(N$6="""", """", IFERROR(SUM(FILTER('기록'!$G:$G, ('기록'!$D:$D=N$6) * (IF($A$2=""전체"", TRUE, (YEAR('기록'!$A:$A)&amp;"""")=$A$2)))), ""-""))"),"-")</f>
        <v>-</v>
      </c>
      <c r="O19" s="47">
        <f>IFERROR(__xludf.DUMMYFUNCTION("IF(O$6="""", """", IFERROR(SUM(FILTER('기록'!$G:$G, ('기록'!$D:$D=O$6) * (IF($A$2=""전체"", TRUE, (YEAR('기록'!$A:$A)&amp;"""")=$A$2)))), ""-""))"),-155.60000000000002)</f>
        <v>-155.6</v>
      </c>
      <c r="P19" s="47" t="str">
        <f>IFERROR(__xludf.DUMMYFUNCTION("IF(P$6="""", """", IFERROR(SUM(FILTER('기록'!$G:$G, ('기록'!$D:$D=P$6) * (IF($A$2=""전체"", TRUE, (YEAR('기록'!$A:$A)&amp;"""")=$A$2)))), ""-""))"),"-")</f>
        <v>-</v>
      </c>
      <c r="Q19" s="47" t="str">
        <f>IFERROR(__xludf.DUMMYFUNCTION("IF(Q$6="""", """", IFERROR(SUM(FILTER('기록'!$G:$G, ('기록'!$D:$D=Q$6) * (IF($A$2=""전체"", TRUE, (YEAR('기록'!$A:$A)&amp;"""")=$A$2)))), ""-""))"),"-")</f>
        <v>-</v>
      </c>
      <c r="R19" s="47" t="str">
        <f>IFERROR(__xludf.DUMMYFUNCTION("IF(R$6="""", """", IFERROR(SUM(FILTER('기록'!$G:$G, ('기록'!$D:$D=R$6) * (IF($A$2=""전체"", TRUE, (YEAR('기록'!$A:$A)&amp;"""")=$A$2)))), ""-""))"),"-")</f>
        <v>-</v>
      </c>
      <c r="S19" s="47" t="str">
        <f>IFERROR(__xludf.DUMMYFUNCTION("IF(S$6="""", """", IFERROR(SUM(FILTER('기록'!$G:$G, ('기록'!$D:$D=S$6) * (IF($A$2=""전체"", TRUE, (YEAR('기록'!$A:$A)&amp;"""")=$A$2)))), ""-""))"),"-")</f>
        <v>-</v>
      </c>
      <c r="T19" s="47" t="str">
        <f>IFERROR(__xludf.DUMMYFUNCTION("IF(T$6="""", """", IFERROR(SUM(FILTER('기록'!$G:$G, ('기록'!$D:$D=T$6) * (IF($A$2=""전체"", TRUE, (YEAR('기록'!$A:$A)&amp;"""")=$A$2)))), ""-""))"),"-")</f>
        <v>-</v>
      </c>
      <c r="U19" s="47" t="str">
        <f>IFERROR(__xludf.DUMMYFUNCTION("IF(U$6="""", """", IFERROR(SUM(FILTER('기록'!$G:$G, ('기록'!$D:$D=U$6) * (IF($A$2=""전체"", TRUE, (YEAR('기록'!$A:$A)&amp;"""")=$A$2)))), ""-""))"),"-")</f>
        <v>-</v>
      </c>
      <c r="V19" s="47">
        <f>IFERROR(__xludf.DUMMYFUNCTION("IF(V$6="""", """", IFERROR(SUM(FILTER('기록'!$G:$G, ('기록'!$D:$D=V$6) * (IF($A$2=""전체"", TRUE, (YEAR('기록'!$A:$A)&amp;"""")=$A$2)))), ""-""))"),-70.1)</f>
        <v>-70.1</v>
      </c>
      <c r="W19" s="47" t="str">
        <f>IFERROR(__xludf.DUMMYFUNCTION("IF(W$6="""", """", IFERROR(SUM(FILTER('기록'!$G:$G, ('기록'!$D:$D=W$6) * (IF($A$2=""전체"", TRUE, (YEAR('기록'!$A:$A)&amp;"""")=$A$2)))), ""-""))"),"-")</f>
        <v>-</v>
      </c>
      <c r="X19" s="47" t="str">
        <f>IFERROR(__xludf.DUMMYFUNCTION("IF(X$6="""", """", IFERROR(SUM(FILTER('기록'!$G:$G, ('기록'!$D:$D=X$6) * (IF($A$2=""전체"", TRUE, (YEAR('기록'!$A:$A)&amp;"""")=$A$2)))), ""-""))"),"-")</f>
        <v>-</v>
      </c>
      <c r="Y19" s="47" t="str">
        <f>IFERROR(__xludf.DUMMYFUNCTION("IF(Y$6="""", """", IFERROR(SUM(FILTER('기록'!$G:$G, ('기록'!$D:$D=Y$6) * (IF($A$2=""전체"", TRUE, (YEAR('기록'!$A:$A)&amp;"""")=$A$2)))), ""-""))"),"-")</f>
        <v>-</v>
      </c>
      <c r="Z19" s="47" t="str">
        <f>IFERROR(__xludf.DUMMYFUNCTION("IF(Z$6="""", """", IFERROR(SUM(FILTER('기록'!$G:$G, ('기록'!$D:$D=Z$6) * (IF($A$2=""전체"", TRUE, (YEAR('기록'!$A:$A)&amp;"""")=$A$2)))), ""-""))"),"-")</f>
        <v>-</v>
      </c>
      <c r="AA19" s="47" t="str">
        <f>IFERROR(__xludf.DUMMYFUNCTION("IF(AA$6="""", """", IFERROR(SUM(FILTER('기록'!$G:$G, ('기록'!$D:$D=AA$6) * (IF($A$2=""전체"", TRUE, (YEAR('기록'!$A:$A)&amp;"""")=$A$2)))), ""-""))"),"-")</f>
        <v>-</v>
      </c>
      <c r="AB19" s="47" t="str">
        <f>IFERROR(__xludf.DUMMYFUNCTION("IF(AB$6="""", """", IFERROR(SUM(FILTER('기록'!$G:$G, ('기록'!$D:$D=AB$6) * (IF($A$2=""전체"", TRUE, (YEAR('기록'!$A:$A)&amp;"""")=$A$2)))), ""-""))"),"-")</f>
        <v>-</v>
      </c>
      <c r="AC19" s="47">
        <f>IFERROR(__xludf.DUMMYFUNCTION("IF(AC$6="""", """", IFERROR(SUM(FILTER('기록'!$G:$G, ('기록'!$D:$D=AC$6) * (IF($A$2=""전체"", TRUE, (YEAR('기록'!$A:$A)&amp;"""")=$A$2)))), ""-""))"),-231.90000000000003)</f>
        <v>-231.9</v>
      </c>
      <c r="AD19" s="47" t="str">
        <f>IFERROR(__xludf.DUMMYFUNCTION("IF(AD$6="""", """", IFERROR(SUM(FILTER('기록'!$G:$G, ('기록'!$D:$D=AD$6) * (IF($A$2=""전체"", TRUE, (YEAR('기록'!$A:$A)&amp;"""")=$A$2)))), ""-""))"),"-")</f>
        <v>-</v>
      </c>
      <c r="AE19" s="47" t="str">
        <f>IFERROR(__xludf.DUMMYFUNCTION("IF(AE$6="""", """", IFERROR(SUM(FILTER('기록'!$G:$G, ('기록'!$D:$D=AE$6) * (IF($A$2=""전체"", TRUE, (YEAR('기록'!$A:$A)&amp;"""")=$A$2)))), ""-""))"),"-")</f>
        <v>-</v>
      </c>
      <c r="AF19" s="47" t="str">
        <f>IFERROR(__xludf.DUMMYFUNCTION("IF(AF$6="""", """", IFERROR(SUM(FILTER('기록'!$G:$G, ('기록'!$D:$D=AF$6) * (IF($A$2=""전체"", TRUE, (YEAR('기록'!$A:$A)&amp;"""")=$A$2)))), ""-""))"),"-")</f>
        <v>-</v>
      </c>
      <c r="AG19" s="47">
        <f>IFERROR(__xludf.DUMMYFUNCTION("IF(AG$6="""", """", IFERROR(SUM(FILTER('기록'!$G:$G, ('기록'!$D:$D=AG$6) * (IF($A$2=""전체"", TRUE, (YEAR('기록'!$A:$A)&amp;"""")=$A$2)))), ""-""))"),-68.99999999999999)</f>
        <v>-69</v>
      </c>
      <c r="AH19" s="47">
        <f>IFERROR(__xludf.DUMMYFUNCTION("IF(AH$6="""", """", IFERROR(SUM(FILTER('기록'!$G:$G, ('기록'!$D:$D=AH$6) * (IF($A$2=""전체"", TRUE, (YEAR('기록'!$A:$A)&amp;"""")=$A$2)))), ""-""))"),-56.2)</f>
        <v>-56.2</v>
      </c>
      <c r="AI19" s="47">
        <f>IFERROR(__xludf.DUMMYFUNCTION("IF(AI$6="""", """", IFERROR(SUM(FILTER('기록'!$G:$G, ('기록'!$D:$D=AI$6) * (IF($A$2=""전체"", TRUE, (YEAR('기록'!$A:$A)&amp;"""")=$A$2)))), ""-""))"),-34.099999999999994)</f>
        <v>-34.1</v>
      </c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</row>
    <row r="20">
      <c r="A20" s="44"/>
      <c r="B20" s="44" t="s">
        <v>78</v>
      </c>
      <c r="C20" s="39">
        <f>IFERROR(__xludf.DUMMYFUNCTION("IF(C$6="""", """", IFERROR(AVERAGE(FILTER('기록'!$G:$G, ('기록'!$D:$D=C$6) * (IF($A$2=""전체"", TRUE, (YEAR('기록'!$A:$A)&amp;"""")=$A$2)))), ""-""))"),-0.8700000000000004)</f>
        <v>-0.87</v>
      </c>
      <c r="D20" s="39">
        <f>IFERROR(__xludf.DUMMYFUNCTION("IF(D$6="""", """", IFERROR(AVERAGE(FILTER('기록'!$G:$G, ('기록'!$D:$D=D$6) * (IF($A$2=""전체"", TRUE, (YEAR('기록'!$A:$A)&amp;"""")=$A$2)))), ""-""))"),8.772916666666664)</f>
        <v>8.772916667</v>
      </c>
      <c r="E20" s="39">
        <f>IFERROR(__xludf.DUMMYFUNCTION("IF(E$6="""", """", IFERROR(AVERAGE(FILTER('기록'!$G:$G, ('기록'!$D:$D=E$6) * (IF($A$2=""전체"", TRUE, (YEAR('기록'!$A:$A)&amp;"""")=$A$2)))), ""-""))"),-3.447368421052633)</f>
        <v>-3.447368421</v>
      </c>
      <c r="F20" s="39">
        <f>IFERROR(__xludf.DUMMYFUNCTION("IF(F$6="""", """", IFERROR(AVERAGE(FILTER('기록'!$G:$G, ('기록'!$D:$D=F$6) * (IF($A$2=""전체"", TRUE, (YEAR('기록'!$A:$A)&amp;"""")=$A$2)))), ""-""))"),-6.178571428571428)</f>
        <v>-6.178571429</v>
      </c>
      <c r="G20" s="39">
        <f>IFERROR(__xludf.DUMMYFUNCTION("IF(G$6="""", """", IFERROR(AVERAGE(FILTER('기록'!$G:$G, ('기록'!$D:$D=G$6) * (IF($A$2=""전체"", TRUE, (YEAR('기록'!$A:$A)&amp;"""")=$A$2)))), ""-""))"),-5.542105263157895)</f>
        <v>-5.542105263</v>
      </c>
      <c r="H20" s="39">
        <f>IFERROR(__xludf.DUMMYFUNCTION("IF(H$6="""", """", IFERROR(AVERAGE(FILTER('기록'!$G:$G, ('기록'!$D:$D=H$6) * (IF($A$2=""전체"", TRUE, (YEAR('기록'!$A:$A)&amp;"""")=$A$2)))), ""-""))"),-7.709999999999998)</f>
        <v>-7.71</v>
      </c>
      <c r="I20" s="39">
        <f>IFERROR(__xludf.DUMMYFUNCTION("IF(I$6="""", """", IFERROR(AVERAGE(FILTER('기록'!$G:$G, ('기록'!$D:$D=I$6) * (IF($A$2=""전체"", TRUE, (YEAR('기록'!$A:$A)&amp;"""")=$A$2)))), ""-""))"),6.357142857142856)</f>
        <v>6.357142857</v>
      </c>
      <c r="J20" s="39" t="str">
        <f>IFERROR(__xludf.DUMMYFUNCTION("IF(J$6="""", """", IFERROR(AVERAGE(FILTER('기록'!$G:$G, ('기록'!$D:$D=J$6) * (IF($A$2=""전체"", TRUE, (YEAR('기록'!$A:$A)&amp;"""")=$A$2)))), ""-""))"),"-")</f>
        <v>-</v>
      </c>
      <c r="K20" s="39">
        <f>IFERROR(__xludf.DUMMYFUNCTION("IF(K$6="""", """", IFERROR(AVERAGE(FILTER('기록'!$G:$G, ('기록'!$D:$D=K$6) * (IF($A$2=""전체"", TRUE, (YEAR('기록'!$A:$A)&amp;"""")=$A$2)))), ""-""))"),-6.4142857142857155)</f>
        <v>-6.414285714</v>
      </c>
      <c r="L20" s="39">
        <f>IFERROR(__xludf.DUMMYFUNCTION("IF(L$6="""", """", IFERROR(AVERAGE(FILTER('기록'!$G:$G, ('기록'!$D:$D=L$6) * (IF($A$2=""전체"", TRUE, (YEAR('기록'!$A:$A)&amp;"""")=$A$2)))), ""-""))"),15.205882352941176)</f>
        <v>15.20588235</v>
      </c>
      <c r="M20" s="39">
        <f>IFERROR(__xludf.DUMMYFUNCTION("IF(M$6="""", """", IFERROR(AVERAGE(FILTER('기록'!$G:$G, ('기록'!$D:$D=M$6) * (IF($A$2=""전체"", TRUE, (YEAR('기록'!$A:$A)&amp;"""")=$A$2)))), ""-""))"),10.162162162162161)</f>
        <v>10.16216216</v>
      </c>
      <c r="N20" s="39" t="str">
        <f>IFERROR(__xludf.DUMMYFUNCTION("IF(N$6="""", """", IFERROR(AVERAGE(FILTER('기록'!$G:$G, ('기록'!$D:$D=N$6) * (IF($A$2=""전체"", TRUE, (YEAR('기록'!$A:$A)&amp;"""")=$A$2)))), ""-""))"),"-")</f>
        <v>-</v>
      </c>
      <c r="O20" s="39">
        <f>IFERROR(__xludf.DUMMYFUNCTION("IF(O$6="""", """", IFERROR(AVERAGE(FILTER('기록'!$G:$G, ('기록'!$D:$D=O$6) * (IF($A$2=""전체"", TRUE, (YEAR('기록'!$A:$A)&amp;"""")=$A$2)))), ""-""))"),-31.120000000000005)</f>
        <v>-31.12</v>
      </c>
      <c r="P20" s="39" t="str">
        <f>IFERROR(__xludf.DUMMYFUNCTION("IF(P$6="""", """", IFERROR(AVERAGE(FILTER('기록'!$G:$G, ('기록'!$D:$D=P$6) * (IF($A$2=""전체"", TRUE, (YEAR('기록'!$A:$A)&amp;"""")=$A$2)))), ""-""))"),"-")</f>
        <v>-</v>
      </c>
      <c r="Q20" s="39" t="str">
        <f>IFERROR(__xludf.DUMMYFUNCTION("IF(Q$6="""", """", IFERROR(AVERAGE(FILTER('기록'!$G:$G, ('기록'!$D:$D=Q$6) * (IF($A$2=""전체"", TRUE, (YEAR('기록'!$A:$A)&amp;"""")=$A$2)))), ""-""))"),"-")</f>
        <v>-</v>
      </c>
      <c r="R20" s="39" t="str">
        <f>IFERROR(__xludf.DUMMYFUNCTION("IF(R$6="""", """", IFERROR(AVERAGE(FILTER('기록'!$G:$G, ('기록'!$D:$D=R$6) * (IF($A$2=""전체"", TRUE, (YEAR('기록'!$A:$A)&amp;"""")=$A$2)))), ""-""))"),"-")</f>
        <v>-</v>
      </c>
      <c r="S20" s="39" t="str">
        <f>IFERROR(__xludf.DUMMYFUNCTION("IF(S$6="""", """", IFERROR(AVERAGE(FILTER('기록'!$G:$G, ('기록'!$D:$D=S$6) * (IF($A$2=""전체"", TRUE, (YEAR('기록'!$A:$A)&amp;"""")=$A$2)))), ""-""))"),"-")</f>
        <v>-</v>
      </c>
      <c r="T20" s="39" t="str">
        <f>IFERROR(__xludf.DUMMYFUNCTION("IF(T$6="""", """", IFERROR(AVERAGE(FILTER('기록'!$G:$G, ('기록'!$D:$D=T$6) * (IF($A$2=""전체"", TRUE, (YEAR('기록'!$A:$A)&amp;"""")=$A$2)))), ""-""))"),"-")</f>
        <v>-</v>
      </c>
      <c r="U20" s="39" t="str">
        <f>IFERROR(__xludf.DUMMYFUNCTION("IF(U$6="""", """", IFERROR(AVERAGE(FILTER('기록'!$G:$G, ('기록'!$D:$D=U$6) * (IF($A$2=""전체"", TRUE, (YEAR('기록'!$A:$A)&amp;"""")=$A$2)))), ""-""))"),"-")</f>
        <v>-</v>
      </c>
      <c r="V20" s="39">
        <f>IFERROR(__xludf.DUMMYFUNCTION("IF(V$6="""", """", IFERROR(AVERAGE(FILTER('기록'!$G:$G, ('기록'!$D:$D=V$6) * (IF($A$2=""전체"", TRUE, (YEAR('기록'!$A:$A)&amp;"""")=$A$2)))), ""-""))"),-5.841666666666666)</f>
        <v>-5.841666667</v>
      </c>
      <c r="W20" s="39" t="str">
        <f>IFERROR(__xludf.DUMMYFUNCTION("IF(W$6="""", """", IFERROR(AVERAGE(FILTER('기록'!$G:$G, ('기록'!$D:$D=W$6) * (IF($A$2=""전체"", TRUE, (YEAR('기록'!$A:$A)&amp;"""")=$A$2)))), ""-""))"),"-")</f>
        <v>-</v>
      </c>
      <c r="X20" s="39" t="str">
        <f>IFERROR(__xludf.DUMMYFUNCTION("IF(X$6="""", """", IFERROR(AVERAGE(FILTER('기록'!$G:$G, ('기록'!$D:$D=X$6) * (IF($A$2=""전체"", TRUE, (YEAR('기록'!$A:$A)&amp;"""")=$A$2)))), ""-""))"),"-")</f>
        <v>-</v>
      </c>
      <c r="Y20" s="39" t="str">
        <f>IFERROR(__xludf.DUMMYFUNCTION("IF(Y$6="""", """", IFERROR(AVERAGE(FILTER('기록'!$G:$G, ('기록'!$D:$D=Y$6) * (IF($A$2=""전체"", TRUE, (YEAR('기록'!$A:$A)&amp;"""")=$A$2)))), ""-""))"),"-")</f>
        <v>-</v>
      </c>
      <c r="Z20" s="39" t="str">
        <f>IFERROR(__xludf.DUMMYFUNCTION("IF(Z$6="""", """", IFERROR(AVERAGE(FILTER('기록'!$G:$G, ('기록'!$D:$D=Z$6) * (IF($A$2=""전체"", TRUE, (YEAR('기록'!$A:$A)&amp;"""")=$A$2)))), ""-""))"),"-")</f>
        <v>-</v>
      </c>
      <c r="AA20" s="39" t="str">
        <f>IFERROR(__xludf.DUMMYFUNCTION("IF(AA$6="""", """", IFERROR(AVERAGE(FILTER('기록'!$G:$G, ('기록'!$D:$D=AA$6) * (IF($A$2=""전체"", TRUE, (YEAR('기록'!$A:$A)&amp;"""")=$A$2)))), ""-""))"),"-")</f>
        <v>-</v>
      </c>
      <c r="AB20" s="39" t="str">
        <f>IFERROR(__xludf.DUMMYFUNCTION("IF(AB$6="""", """", IFERROR(AVERAGE(FILTER('기록'!$G:$G, ('기록'!$D:$D=AB$6) * (IF($A$2=""전체"", TRUE, (YEAR('기록'!$A:$A)&amp;"""")=$A$2)))), ""-""))"),"-")</f>
        <v>-</v>
      </c>
      <c r="AC20" s="39">
        <f>IFERROR(__xludf.DUMMYFUNCTION("IF(AC$6="""", """", IFERROR(AVERAGE(FILTER('기록'!$G:$G, ('기록'!$D:$D=AC$6) * (IF($A$2=""전체"", TRUE, (YEAR('기록'!$A:$A)&amp;"""")=$A$2)))), ""-""))"),-25.76666666666667)</f>
        <v>-25.76666667</v>
      </c>
      <c r="AD20" s="39" t="str">
        <f>IFERROR(__xludf.DUMMYFUNCTION("IF(AD$6="""", """", IFERROR(AVERAGE(FILTER('기록'!$G:$G, ('기록'!$D:$D=AD$6) * (IF($A$2=""전체"", TRUE, (YEAR('기록'!$A:$A)&amp;"""")=$A$2)))), ""-""))"),"-")</f>
        <v>-</v>
      </c>
      <c r="AE20" s="39" t="str">
        <f>IFERROR(__xludf.DUMMYFUNCTION("IF(AE$6="""", """", IFERROR(AVERAGE(FILTER('기록'!$G:$G, ('기록'!$D:$D=AE$6) * (IF($A$2=""전체"", TRUE, (YEAR('기록'!$A:$A)&amp;"""")=$A$2)))), ""-""))"),"-")</f>
        <v>-</v>
      </c>
      <c r="AF20" s="39" t="str">
        <f>IFERROR(__xludf.DUMMYFUNCTION("IF(AF$6="""", """", IFERROR(AVERAGE(FILTER('기록'!$G:$G, ('기록'!$D:$D=AF$6) * (IF($A$2=""전체"", TRUE, (YEAR('기록'!$A:$A)&amp;"""")=$A$2)))), ""-""))"),"-")</f>
        <v>-</v>
      </c>
      <c r="AG20" s="39">
        <f>IFERROR(__xludf.DUMMYFUNCTION("IF(AG$6="""", """", IFERROR(AVERAGE(FILTER('기록'!$G:$G, ('기록'!$D:$D=AG$6) * (IF($A$2=""전체"", TRUE, (YEAR('기록'!$A:$A)&amp;"""")=$A$2)))), ""-""))"),-8.624999999999998)</f>
        <v>-8.625</v>
      </c>
      <c r="AH20" s="39">
        <f>IFERROR(__xludf.DUMMYFUNCTION("IF(AH$6="""", """", IFERROR(AVERAGE(FILTER('기록'!$G:$G, ('기록'!$D:$D=AH$6) * (IF($A$2=""전체"", TRUE, (YEAR('기록'!$A:$A)&amp;"""")=$A$2)))), ""-""))"),-4.683333333333334)</f>
        <v>-4.683333333</v>
      </c>
      <c r="AI20" s="39">
        <f>IFERROR(__xludf.DUMMYFUNCTION("IF(AI$6="""", """", IFERROR(AVERAGE(FILTER('기록'!$G:$G, ('기록'!$D:$D=AI$6) * (IF($A$2=""전체"", TRUE, (YEAR('기록'!$A:$A)&amp;"""")=$A$2)))), ""-""))"),-5.683333333333333)</f>
        <v>-5.683333333</v>
      </c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</row>
    <row r="21">
      <c r="A21" s="38"/>
      <c r="B21" s="38" t="s">
        <v>79</v>
      </c>
      <c r="C21" s="39">
        <f>IFERROR(__xludf.DUMMYFUNCTION("IF(C$6="""", """", IFERROR(AVERAGE(FILTER('기록'!$F:$F, ('기록'!$D:$D=C$6) * (IF($A$2=""전체"", TRUE, (YEAR('기록'!$A:$A)&amp;"""")=$A$2)))), ""-""))"),2.55)</f>
        <v>2.55</v>
      </c>
      <c r="D21" s="39">
        <f>IFERROR(__xludf.DUMMYFUNCTION("IF(D$6="""", """", IFERROR(AVERAGE(FILTER('기록'!$F:$F, ('기록'!$D:$D=D$6) * (IF($A$2=""전체"", TRUE, (YEAR('기록'!$A:$A)&amp;"""")=$A$2)))), ""-""))"),2.1666666666666665)</f>
        <v>2.166666667</v>
      </c>
      <c r="E21" s="39">
        <f>IFERROR(__xludf.DUMMYFUNCTION("IF(E$6="""", """", IFERROR(AVERAGE(FILTER('기록'!$F:$F, ('기록'!$D:$D=E$6) * (IF($A$2=""전체"", TRUE, (YEAR('기록'!$A:$A)&amp;"""")=$A$2)))), ""-""))"),2.6842105263157894)</f>
        <v>2.684210526</v>
      </c>
      <c r="F21" s="39">
        <f>IFERROR(__xludf.DUMMYFUNCTION("IF(F$6="""", """", IFERROR(AVERAGE(FILTER('기록'!$F:$F, ('기록'!$D:$D=F$6) * (IF($A$2=""전체"", TRUE, (YEAR('기록'!$A:$A)&amp;"""")=$A$2)))), ""-""))"),2.75)</f>
        <v>2.75</v>
      </c>
      <c r="G21" s="39">
        <f>IFERROR(__xludf.DUMMYFUNCTION("IF(G$6="""", """", IFERROR(AVERAGE(FILTER('기록'!$F:$F, ('기록'!$D:$D=G$6) * (IF($A$2=""전체"", TRUE, (YEAR('기록'!$A:$A)&amp;"""")=$A$2)))), ""-""))"),2.6315789473684212)</f>
        <v>2.631578947</v>
      </c>
      <c r="H21" s="39">
        <f>IFERROR(__xludf.DUMMYFUNCTION("IF(H$6="""", """", IFERROR(AVERAGE(FILTER('기록'!$F:$F, ('기록'!$D:$D=H$6) * (IF($A$2=""전체"", TRUE, (YEAR('기록'!$A:$A)&amp;"""")=$A$2)))), ""-""))"),2.7)</f>
        <v>2.7</v>
      </c>
      <c r="I21" s="39">
        <f>IFERROR(__xludf.DUMMYFUNCTION("IF(I$6="""", """", IFERROR(AVERAGE(FILTER('기록'!$F:$F, ('기록'!$D:$D=I$6) * (IF($A$2=""전체"", TRUE, (YEAR('기록'!$A:$A)&amp;"""")=$A$2)))), ""-""))"),2.2857142857142856)</f>
        <v>2.285714286</v>
      </c>
      <c r="J21" s="39" t="str">
        <f>IFERROR(__xludf.DUMMYFUNCTION("IF(J$6="""", """", IFERROR(AVERAGE(FILTER('기록'!$F:$F, ('기록'!$D:$D=J$6) * (IF($A$2=""전체"", TRUE, (YEAR('기록'!$A:$A)&amp;"""")=$A$2)))), ""-""))"),"-")</f>
        <v>-</v>
      </c>
      <c r="K21" s="39">
        <f>IFERROR(__xludf.DUMMYFUNCTION("IF(K$6="""", """", IFERROR(AVERAGE(FILTER('기록'!$F:$F, ('기록'!$D:$D=K$6) * (IF($A$2=""전체"", TRUE, (YEAR('기록'!$A:$A)&amp;"""")=$A$2)))), ""-""))"),2.5714285714285716)</f>
        <v>2.571428571</v>
      </c>
      <c r="L21" s="39">
        <f>IFERROR(__xludf.DUMMYFUNCTION("IF(L$6="""", """", IFERROR(AVERAGE(FILTER('기록'!$F:$F, ('기록'!$D:$D=L$6) * (IF($A$2=""전체"", TRUE, (YEAR('기록'!$A:$A)&amp;"""")=$A$2)))), ""-""))"),2.235294117647059)</f>
        <v>2.235294118</v>
      </c>
      <c r="M21" s="39">
        <f>IFERROR(__xludf.DUMMYFUNCTION("IF(M$6="""", """", IFERROR(AVERAGE(FILTER('기록'!$F:$F, ('기록'!$D:$D=M$6) * (IF($A$2=""전체"", TRUE, (YEAR('기록'!$A:$A)&amp;"""")=$A$2)))), ""-""))"),2.1621621621621623)</f>
        <v>2.162162162</v>
      </c>
      <c r="N21" s="39" t="str">
        <f>IFERROR(__xludf.DUMMYFUNCTION("IF(N$6="""", """", IFERROR(AVERAGE(FILTER('기록'!$F:$F, ('기록'!$D:$D=N$6) * (IF($A$2=""전체"", TRUE, (YEAR('기록'!$A:$A)&amp;"""")=$A$2)))), ""-""))"),"-")</f>
        <v>-</v>
      </c>
      <c r="O21" s="39">
        <f>IFERROR(__xludf.DUMMYFUNCTION("IF(O$6="""", """", IFERROR(AVERAGE(FILTER('기록'!$F:$F, ('기록'!$D:$D=O$6) * (IF($A$2=""전체"", TRUE, (YEAR('기록'!$A:$A)&amp;"""")=$A$2)))), ""-""))"),3.4)</f>
        <v>3.4</v>
      </c>
      <c r="P21" s="39" t="str">
        <f>IFERROR(__xludf.DUMMYFUNCTION("IF(P$6="""", """", IFERROR(AVERAGE(FILTER('기록'!$F:$F, ('기록'!$D:$D=P$6) * (IF($A$2=""전체"", TRUE, (YEAR('기록'!$A:$A)&amp;"""")=$A$2)))), ""-""))"),"-")</f>
        <v>-</v>
      </c>
      <c r="Q21" s="39" t="str">
        <f>IFERROR(__xludf.DUMMYFUNCTION("IF(Q$6="""", """", IFERROR(AVERAGE(FILTER('기록'!$F:$F, ('기록'!$D:$D=Q$6) * (IF($A$2=""전체"", TRUE, (YEAR('기록'!$A:$A)&amp;"""")=$A$2)))), ""-""))"),"-")</f>
        <v>-</v>
      </c>
      <c r="R21" s="39" t="str">
        <f>IFERROR(__xludf.DUMMYFUNCTION("IF(R$6="""", """", IFERROR(AVERAGE(FILTER('기록'!$F:$F, ('기록'!$D:$D=R$6) * (IF($A$2=""전체"", TRUE, (YEAR('기록'!$A:$A)&amp;"""")=$A$2)))), ""-""))"),"-")</f>
        <v>-</v>
      </c>
      <c r="S21" s="39" t="str">
        <f>IFERROR(__xludf.DUMMYFUNCTION("IF(S$6="""", """", IFERROR(AVERAGE(FILTER('기록'!$F:$F, ('기록'!$D:$D=S$6) * (IF($A$2=""전체"", TRUE, (YEAR('기록'!$A:$A)&amp;"""")=$A$2)))), ""-""))"),"-")</f>
        <v>-</v>
      </c>
      <c r="T21" s="39" t="str">
        <f>IFERROR(__xludf.DUMMYFUNCTION("IF(T$6="""", """", IFERROR(AVERAGE(FILTER('기록'!$F:$F, ('기록'!$D:$D=T$6) * (IF($A$2=""전체"", TRUE, (YEAR('기록'!$A:$A)&amp;"""")=$A$2)))), ""-""))"),"-")</f>
        <v>-</v>
      </c>
      <c r="U21" s="39" t="str">
        <f>IFERROR(__xludf.DUMMYFUNCTION("IF(U$6="""", """", IFERROR(AVERAGE(FILTER('기록'!$F:$F, ('기록'!$D:$D=U$6) * (IF($A$2=""전체"", TRUE, (YEAR('기록'!$A:$A)&amp;"""")=$A$2)))), ""-""))"),"-")</f>
        <v>-</v>
      </c>
      <c r="V21" s="39">
        <f>IFERROR(__xludf.DUMMYFUNCTION("IF(V$6="""", """", IFERROR(AVERAGE(FILTER('기록'!$F:$F, ('기록'!$D:$D=V$6) * (IF($A$2=""전체"", TRUE, (YEAR('기록'!$A:$A)&amp;"""")=$A$2)))), ""-""))"),2.5833333333333335)</f>
        <v>2.583333333</v>
      </c>
      <c r="W21" s="39" t="str">
        <f>IFERROR(__xludf.DUMMYFUNCTION("IF(W$6="""", """", IFERROR(AVERAGE(FILTER('기록'!$F:$F, ('기록'!$D:$D=W$6) * (IF($A$2=""전체"", TRUE, (YEAR('기록'!$A:$A)&amp;"""")=$A$2)))), ""-""))"),"-")</f>
        <v>-</v>
      </c>
      <c r="X21" s="39" t="str">
        <f>IFERROR(__xludf.DUMMYFUNCTION("IF(X$6="""", """", IFERROR(AVERAGE(FILTER('기록'!$F:$F, ('기록'!$D:$D=X$6) * (IF($A$2=""전체"", TRUE, (YEAR('기록'!$A:$A)&amp;"""")=$A$2)))), ""-""))"),"-")</f>
        <v>-</v>
      </c>
      <c r="Y21" s="39" t="str">
        <f>IFERROR(__xludf.DUMMYFUNCTION("IF(Y$6="""", """", IFERROR(AVERAGE(FILTER('기록'!$F:$F, ('기록'!$D:$D=Y$6) * (IF($A$2=""전체"", TRUE, (YEAR('기록'!$A:$A)&amp;"""")=$A$2)))), ""-""))"),"-")</f>
        <v>-</v>
      </c>
      <c r="Z21" s="39" t="str">
        <f>IFERROR(__xludf.DUMMYFUNCTION("IF(Z$6="""", """", IFERROR(AVERAGE(FILTER('기록'!$F:$F, ('기록'!$D:$D=Z$6) * (IF($A$2=""전체"", TRUE, (YEAR('기록'!$A:$A)&amp;"""")=$A$2)))), ""-""))"),"-")</f>
        <v>-</v>
      </c>
      <c r="AA21" s="39" t="str">
        <f>IFERROR(__xludf.DUMMYFUNCTION("IF(AA$6="""", """", IFERROR(AVERAGE(FILTER('기록'!$F:$F, ('기록'!$D:$D=AA$6) * (IF($A$2=""전체"", TRUE, (YEAR('기록'!$A:$A)&amp;"""")=$A$2)))), ""-""))"),"-")</f>
        <v>-</v>
      </c>
      <c r="AB21" s="39" t="str">
        <f>IFERROR(__xludf.DUMMYFUNCTION("IF(AB$6="""", """", IFERROR(AVERAGE(FILTER('기록'!$F:$F, ('기록'!$D:$D=AB$6) * (IF($A$2=""전체"", TRUE, (YEAR('기록'!$A:$A)&amp;"""")=$A$2)))), ""-""))"),"-")</f>
        <v>-</v>
      </c>
      <c r="AC21" s="39">
        <f>IFERROR(__xludf.DUMMYFUNCTION("IF(AC$6="""", """", IFERROR(AVERAGE(FILTER('기록'!$F:$F, ('기록'!$D:$D=AC$6) * (IF($A$2=""전체"", TRUE, (YEAR('기록'!$A:$A)&amp;"""")=$A$2)))), ""-""))"),3.2222222222222223)</f>
        <v>3.222222222</v>
      </c>
      <c r="AD21" s="39" t="str">
        <f>IFERROR(__xludf.DUMMYFUNCTION("IF(AD$6="""", """", IFERROR(AVERAGE(FILTER('기록'!$F:$F, ('기록'!$D:$D=AD$6) * (IF($A$2=""전체"", TRUE, (YEAR('기록'!$A:$A)&amp;"""")=$A$2)))), ""-""))"),"-")</f>
        <v>-</v>
      </c>
      <c r="AE21" s="39" t="str">
        <f>IFERROR(__xludf.DUMMYFUNCTION("IF(AE$6="""", """", IFERROR(AVERAGE(FILTER('기록'!$F:$F, ('기록'!$D:$D=AE$6) * (IF($A$2=""전체"", TRUE, (YEAR('기록'!$A:$A)&amp;"""")=$A$2)))), ""-""))"),"-")</f>
        <v>-</v>
      </c>
      <c r="AF21" s="39" t="str">
        <f>IFERROR(__xludf.DUMMYFUNCTION("IF(AF$6="""", """", IFERROR(AVERAGE(FILTER('기록'!$F:$F, ('기록'!$D:$D=AF$6) * (IF($A$2=""전체"", TRUE, (YEAR('기록'!$A:$A)&amp;"""")=$A$2)))), ""-""))"),"-")</f>
        <v>-</v>
      </c>
      <c r="AG21" s="39">
        <f>IFERROR(__xludf.DUMMYFUNCTION("IF(AG$6="""", """", IFERROR(AVERAGE(FILTER('기록'!$F:$F, ('기록'!$D:$D=AG$6) * (IF($A$2=""전체"", TRUE, (YEAR('기록'!$A:$A)&amp;"""")=$A$2)))), ""-""))"),2.75)</f>
        <v>2.75</v>
      </c>
      <c r="AH21" s="39">
        <f>IFERROR(__xludf.DUMMYFUNCTION("IF(AH$6="""", """", IFERROR(AVERAGE(FILTER('기록'!$F:$F, ('기록'!$D:$D=AH$6) * (IF($A$2=""전체"", TRUE, (YEAR('기록'!$A:$A)&amp;"""")=$A$2)))), ""-""))"),2.75)</f>
        <v>2.75</v>
      </c>
      <c r="AI21" s="39">
        <f>IFERROR(__xludf.DUMMYFUNCTION("IF(AI$6="""", """", IFERROR(AVERAGE(FILTER('기록'!$F:$F, ('기록'!$D:$D=AI$6) * (IF($A$2=""전체"", TRUE, (YEAR('기록'!$A:$A)&amp;"""")=$A$2)))), ""-""))"),2.6666666666666665)</f>
        <v>2.666666667</v>
      </c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</row>
    <row r="22">
      <c r="A22" s="22"/>
      <c r="B22" s="22" t="s">
        <v>46</v>
      </c>
      <c r="C22" s="47">
        <f>IFERROR(__xludf.DUMMYFUNCTION("IF(C$6="""", """", IFERROR(SUM(FILTER('기록'!$I:$I, ('기록'!$D:$D=C$6) * (IF($A$2=""전체"", TRUE, (YEAR('기록'!$A:$A)&amp;"""")=$A$2)))), 0))"),7.0)</f>
        <v>7</v>
      </c>
      <c r="D22" s="47">
        <f>IFERROR(__xludf.DUMMYFUNCTION("IF(D$6="""", """", IFERROR(SUM(FILTER('기록'!$I:$I, ('기록'!$D:$D=D$6) * (IF($A$2=""전체"", TRUE, (YEAR('기록'!$A:$A)&amp;"""")=$A$2)))), 0))"),7.0)</f>
        <v>7</v>
      </c>
      <c r="E22" s="47">
        <f>IFERROR(__xludf.DUMMYFUNCTION("IF(E$6="""", """", IFERROR(SUM(FILTER('기록'!$I:$I, ('기록'!$D:$D=E$6) * (IF($A$2=""전체"", TRUE, (YEAR('기록'!$A:$A)&amp;"""")=$A$2)))), 0))"),7.0)</f>
        <v>7</v>
      </c>
      <c r="F22" s="47">
        <f>IFERROR(__xludf.DUMMYFUNCTION("IF(F$6="""", """", IFERROR(SUM(FILTER('기록'!$I:$I, ('기록'!$D:$D=F$6) * (IF($A$2=""전체"", TRUE, (YEAR('기록'!$A:$A)&amp;"""")=$A$2)))), 0))"),7.0)</f>
        <v>7</v>
      </c>
      <c r="G22" s="47">
        <f>IFERROR(__xludf.DUMMYFUNCTION("IF(G$6="""", """", IFERROR(SUM(FILTER('기록'!$I:$I, ('기록'!$D:$D=G$6) * (IF($A$2=""전체"", TRUE, (YEAR('기록'!$A:$A)&amp;"""")=$A$2)))), 0))"),0.0)</f>
        <v>0</v>
      </c>
      <c r="H22" s="47">
        <f>IFERROR(__xludf.DUMMYFUNCTION("IF(H$6="""", """", IFERROR(SUM(FILTER('기록'!$I:$I, ('기록'!$D:$D=H$6) * (IF($A$2=""전체"", TRUE, (YEAR('기록'!$A:$A)&amp;"""")=$A$2)))), 0))"),0.0)</f>
        <v>0</v>
      </c>
      <c r="I22" s="47">
        <f>IFERROR(__xludf.DUMMYFUNCTION("IF(I$6="""", """", IFERROR(SUM(FILTER('기록'!$I:$I, ('기록'!$D:$D=I$6) * (IF($A$2=""전체"", TRUE, (YEAR('기록'!$A:$A)&amp;"""")=$A$2)))), 0))"),1.0)</f>
        <v>1</v>
      </c>
      <c r="J22" s="47">
        <f>IFERROR(__xludf.DUMMYFUNCTION("IF(J$6="""", """", IFERROR(SUM(FILTER('기록'!$I:$I, ('기록'!$D:$D=J$6) * (IF($A$2=""전체"", TRUE, (YEAR('기록'!$A:$A)&amp;"""")=$A$2)))), 0))"),0.0)</f>
        <v>0</v>
      </c>
      <c r="K22" s="47">
        <f>IFERROR(__xludf.DUMMYFUNCTION("IF(K$6="""", """", IFERROR(SUM(FILTER('기록'!$I:$I, ('기록'!$D:$D=K$6) * (IF($A$2=""전체"", TRUE, (YEAR('기록'!$A:$A)&amp;"""")=$A$2)))), 0))"),1.0)</f>
        <v>1</v>
      </c>
      <c r="L22" s="47">
        <f>IFERROR(__xludf.DUMMYFUNCTION("IF(L$6="""", """", IFERROR(SUM(FILTER('기록'!$I:$I, ('기록'!$D:$D=L$6) * (IF($A$2=""전체"", TRUE, (YEAR('기록'!$A:$A)&amp;"""")=$A$2)))), 0))"),4.0)</f>
        <v>4</v>
      </c>
      <c r="M22" s="47">
        <f>IFERROR(__xludf.DUMMYFUNCTION("IF(M$6="""", """", IFERROR(SUM(FILTER('기록'!$I:$I, ('기록'!$D:$D=M$6) * (IF($A$2=""전체"", TRUE, (YEAR('기록'!$A:$A)&amp;"""")=$A$2)))), 0))"),11.0)</f>
        <v>11</v>
      </c>
      <c r="N22" s="47">
        <f>IFERROR(__xludf.DUMMYFUNCTION("IF(N$6="""", """", IFERROR(SUM(FILTER('기록'!$I:$I, ('기록'!$D:$D=N$6) * (IF($A$2=""전체"", TRUE, (YEAR('기록'!$A:$A)&amp;"""")=$A$2)))), 0))"),0.0)</f>
        <v>0</v>
      </c>
      <c r="O22" s="47">
        <f>IFERROR(__xludf.DUMMYFUNCTION("IF(O$6="""", """", IFERROR(SUM(FILTER('기록'!$I:$I, ('기록'!$D:$D=O$6) * (IF($A$2=""전체"", TRUE, (YEAR('기록'!$A:$A)&amp;"""")=$A$2)))), 0))"),1.0)</f>
        <v>1</v>
      </c>
      <c r="P22" s="47">
        <f>IFERROR(__xludf.DUMMYFUNCTION("IF(P$6="""", """", IFERROR(SUM(FILTER('기록'!$I:$I, ('기록'!$D:$D=P$6) * (IF($A$2=""전체"", TRUE, (YEAR('기록'!$A:$A)&amp;"""")=$A$2)))), 0))"),0.0)</f>
        <v>0</v>
      </c>
      <c r="Q22" s="47">
        <f>IFERROR(__xludf.DUMMYFUNCTION("IF(Q$6="""", """", IFERROR(SUM(FILTER('기록'!$I:$I, ('기록'!$D:$D=Q$6) * (IF($A$2=""전체"", TRUE, (YEAR('기록'!$A:$A)&amp;"""")=$A$2)))), 0))"),0.0)</f>
        <v>0</v>
      </c>
      <c r="R22" s="47">
        <f>IFERROR(__xludf.DUMMYFUNCTION("IF(R$6="""", """", IFERROR(SUM(FILTER('기록'!$I:$I, ('기록'!$D:$D=R$6) * (IF($A$2=""전체"", TRUE, (YEAR('기록'!$A:$A)&amp;"""")=$A$2)))), 0))"),0.0)</f>
        <v>0</v>
      </c>
      <c r="S22" s="47">
        <f>IFERROR(__xludf.DUMMYFUNCTION("IF(S$6="""", """", IFERROR(SUM(FILTER('기록'!$I:$I, ('기록'!$D:$D=S$6) * (IF($A$2=""전체"", TRUE, (YEAR('기록'!$A:$A)&amp;"""")=$A$2)))), 0))"),0.0)</f>
        <v>0</v>
      </c>
      <c r="T22" s="47">
        <f>IFERROR(__xludf.DUMMYFUNCTION("IF(T$6="""", """", IFERROR(SUM(FILTER('기록'!$I:$I, ('기록'!$D:$D=T$6) * (IF($A$2=""전체"", TRUE, (YEAR('기록'!$A:$A)&amp;"""")=$A$2)))), 0))"),0.0)</f>
        <v>0</v>
      </c>
      <c r="U22" s="47">
        <f>IFERROR(__xludf.DUMMYFUNCTION("IF(U$6="""", """", IFERROR(SUM(FILTER('기록'!$I:$I, ('기록'!$D:$D=U$6) * (IF($A$2=""전체"", TRUE, (YEAR('기록'!$A:$A)&amp;"""")=$A$2)))), 0))"),0.0)</f>
        <v>0</v>
      </c>
      <c r="V22" s="47">
        <f>IFERROR(__xludf.DUMMYFUNCTION("IF(V$6="""", """", IFERROR(SUM(FILTER('기록'!$I:$I, ('기록'!$D:$D=V$6) * (IF($A$2=""전체"", TRUE, (YEAR('기록'!$A:$A)&amp;"""")=$A$2)))), 0))"),2.0)</f>
        <v>2</v>
      </c>
      <c r="W22" s="47">
        <f>IFERROR(__xludf.DUMMYFUNCTION("IF(W$6="""", """", IFERROR(SUM(FILTER('기록'!$I:$I, ('기록'!$D:$D=W$6) * (IF($A$2=""전체"", TRUE, (YEAR('기록'!$A:$A)&amp;"""")=$A$2)))), 0))"),0.0)</f>
        <v>0</v>
      </c>
      <c r="X22" s="47">
        <f>IFERROR(__xludf.DUMMYFUNCTION("IF(X$6="""", """", IFERROR(SUM(FILTER('기록'!$I:$I, ('기록'!$D:$D=X$6) * (IF($A$2=""전체"", TRUE, (YEAR('기록'!$A:$A)&amp;"""")=$A$2)))), 0))"),0.0)</f>
        <v>0</v>
      </c>
      <c r="Y22" s="47">
        <f>IFERROR(__xludf.DUMMYFUNCTION("IF(Y$6="""", """", IFERROR(SUM(FILTER('기록'!$I:$I, ('기록'!$D:$D=Y$6) * (IF($A$2=""전체"", TRUE, (YEAR('기록'!$A:$A)&amp;"""")=$A$2)))), 0))"),0.0)</f>
        <v>0</v>
      </c>
      <c r="Z22" s="47">
        <f>IFERROR(__xludf.DUMMYFUNCTION("IF(Z$6="""", """", IFERROR(SUM(FILTER('기록'!$I:$I, ('기록'!$D:$D=Z$6) * (IF($A$2=""전체"", TRUE, (YEAR('기록'!$A:$A)&amp;"""")=$A$2)))), 0))"),0.0)</f>
        <v>0</v>
      </c>
      <c r="AA22" s="47">
        <f>IFERROR(__xludf.DUMMYFUNCTION("IF(AA$6="""", """", IFERROR(SUM(FILTER('기록'!$I:$I, ('기록'!$D:$D=AA$6) * (IF($A$2=""전체"", TRUE, (YEAR('기록'!$A:$A)&amp;"""")=$A$2)))), 0))"),0.0)</f>
        <v>0</v>
      </c>
      <c r="AB22" s="47">
        <f>IFERROR(__xludf.DUMMYFUNCTION("IF(AB$6="""", """", IFERROR(SUM(FILTER('기록'!$I:$I, ('기록'!$D:$D=AB$6) * (IF($A$2=""전체"", TRUE, (YEAR('기록'!$A:$A)&amp;"""")=$A$2)))), 0))"),0.0)</f>
        <v>0</v>
      </c>
      <c r="AC22" s="47">
        <f>IFERROR(__xludf.DUMMYFUNCTION("IF(AC$6="""", """", IFERROR(SUM(FILTER('기록'!$I:$I, ('기록'!$D:$D=AC$6) * (IF($A$2=""전체"", TRUE, (YEAR('기록'!$A:$A)&amp;"""")=$A$2)))), 0))"),1.0)</f>
        <v>1</v>
      </c>
      <c r="AD22" s="47">
        <f>IFERROR(__xludf.DUMMYFUNCTION("IF(AD$6="""", """", IFERROR(SUM(FILTER('기록'!$I:$I, ('기록'!$D:$D=AD$6) * (IF($A$2=""전체"", TRUE, (YEAR('기록'!$A:$A)&amp;"""")=$A$2)))), 0))"),0.0)</f>
        <v>0</v>
      </c>
      <c r="AE22" s="47">
        <f>IFERROR(__xludf.DUMMYFUNCTION("IF(AE$6="""", """", IFERROR(SUM(FILTER('기록'!$I:$I, ('기록'!$D:$D=AE$6) * (IF($A$2=""전체"", TRUE, (YEAR('기록'!$A:$A)&amp;"""")=$A$2)))), 0))"),0.0)</f>
        <v>0</v>
      </c>
      <c r="AF22" s="47">
        <f>IFERROR(__xludf.DUMMYFUNCTION("IF(AF$6="""", """", IFERROR(SUM(FILTER('기록'!$I:$I, ('기록'!$D:$D=AF$6) * (IF($A$2=""전체"", TRUE, (YEAR('기록'!$A:$A)&amp;"""")=$A$2)))), 0))"),0.0)</f>
        <v>0</v>
      </c>
      <c r="AG22" s="47">
        <f>IFERROR(__xludf.DUMMYFUNCTION("IF(AG$6="""", """", IFERROR(SUM(FILTER('기록'!$I:$I, ('기록'!$D:$D=AG$6) * (IF($A$2=""전체"", TRUE, (YEAR('기록'!$A:$A)&amp;"""")=$A$2)))), 0))"),0.0)</f>
        <v>0</v>
      </c>
      <c r="AH22" s="47">
        <f>IFERROR(__xludf.DUMMYFUNCTION("IF(AH$6="""", """", IFERROR(SUM(FILTER('기록'!$I:$I, ('기록'!$D:$D=AH$6) * (IF($A$2=""전체"", TRUE, (YEAR('기록'!$A:$A)&amp;"""")=$A$2)))), 0))"),8.0)</f>
        <v>8</v>
      </c>
      <c r="AI22" s="47">
        <f>IFERROR(__xludf.DUMMYFUNCTION("IF(AI$6="""", """", IFERROR(SUM(FILTER('기록'!$I:$I, ('기록'!$D:$D=AI$6) * (IF($A$2=""전체"", TRUE, (YEAR('기록'!$A:$A)&amp;"""")=$A$2)))), 0))"),1.0)</f>
        <v>1</v>
      </c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</row>
    <row r="23">
      <c r="A23" s="48"/>
      <c r="B23" s="48" t="s">
        <v>47</v>
      </c>
      <c r="C23" s="32">
        <f>IFERROR(__xludf.DUMMYFUNCTION("IF(C$6="""", """", IFERROR(SUM(FILTER('기록'!$J:$J, ('기록'!$D:$D=C$6) * (IF($A$2=""전체"", TRUE, (YEAR('기록'!$A:$A)&amp;"""")=$A$2)))), 0))"),3.0)</f>
        <v>3</v>
      </c>
      <c r="D23" s="32">
        <f>IFERROR(__xludf.DUMMYFUNCTION("IF(D$6="""", """", IFERROR(SUM(FILTER('기록'!$J:$J, ('기록'!$D:$D=D$6) * (IF($A$2=""전체"", TRUE, (YEAR('기록'!$A:$A)&amp;"""")=$A$2)))), 0))"),6.0)</f>
        <v>6</v>
      </c>
      <c r="E23" s="32">
        <f>IFERROR(__xludf.DUMMYFUNCTION("IF(E$6="""", """", IFERROR(SUM(FILTER('기록'!$J:$J, ('기록'!$D:$D=E$6) * (IF($A$2=""전체"", TRUE, (YEAR('기록'!$A:$A)&amp;"""")=$A$2)))), 0))"),3.0)</f>
        <v>3</v>
      </c>
      <c r="F23" s="32">
        <f>IFERROR(__xludf.DUMMYFUNCTION("IF(F$6="""", """", IFERROR(SUM(FILTER('기록'!$J:$J, ('기록'!$D:$D=F$6) * (IF($A$2=""전체"", TRUE, (YEAR('기록'!$A:$A)&amp;"""")=$A$2)))), 0))"),6.0)</f>
        <v>6</v>
      </c>
      <c r="G23" s="32">
        <f>IFERROR(__xludf.DUMMYFUNCTION("IF(G$6="""", """", IFERROR(SUM(FILTER('기록'!$J:$J, ('기록'!$D:$D=G$6) * (IF($A$2=""전체"", TRUE, (YEAR('기록'!$A:$A)&amp;"""")=$A$2)))), 0))"),2.0)</f>
        <v>2</v>
      </c>
      <c r="H23" s="32">
        <f>IFERROR(__xludf.DUMMYFUNCTION("IF(H$6="""", """", IFERROR(SUM(FILTER('기록'!$J:$J, ('기록'!$D:$D=H$6) * (IF($A$2=""전체"", TRUE, (YEAR('기록'!$A:$A)&amp;"""")=$A$2)))), 0))"),0.0)</f>
        <v>0</v>
      </c>
      <c r="I23" s="32">
        <f>IFERROR(__xludf.DUMMYFUNCTION("IF(I$6="""", """", IFERROR(SUM(FILTER('기록'!$J:$J, ('기록'!$D:$D=I$6) * (IF($A$2=""전체"", TRUE, (YEAR('기록'!$A:$A)&amp;"""")=$A$2)))), 0))"),1.0)</f>
        <v>1</v>
      </c>
      <c r="J23" s="32">
        <f>IFERROR(__xludf.DUMMYFUNCTION("IF(J$6="""", """", IFERROR(SUM(FILTER('기록'!$J:$J, ('기록'!$D:$D=J$6) * (IF($A$2=""전체"", TRUE, (YEAR('기록'!$A:$A)&amp;"""")=$A$2)))), 0))"),0.0)</f>
        <v>0</v>
      </c>
      <c r="K23" s="32">
        <f>IFERROR(__xludf.DUMMYFUNCTION("IF(K$6="""", """", IFERROR(SUM(FILTER('기록'!$J:$J, ('기록'!$D:$D=K$6) * (IF($A$2=""전체"", TRUE, (YEAR('기록'!$A:$A)&amp;"""")=$A$2)))), 0))"),1.0)</f>
        <v>1</v>
      </c>
      <c r="L23" s="32">
        <f>IFERROR(__xludf.DUMMYFUNCTION("IF(L$6="""", """", IFERROR(SUM(FILTER('기록'!$J:$J, ('기록'!$D:$D=L$6) * (IF($A$2=""전체"", TRUE, (YEAR('기록'!$A:$A)&amp;"""")=$A$2)))), 0))"),2.0)</f>
        <v>2</v>
      </c>
      <c r="M23" s="32">
        <f>IFERROR(__xludf.DUMMYFUNCTION("IF(M$6="""", """", IFERROR(SUM(FILTER('기록'!$J:$J, ('기록'!$D:$D=M$6) * (IF($A$2=""전체"", TRUE, (YEAR('기록'!$A:$A)&amp;"""")=$A$2)))), 0))"),6.0)</f>
        <v>6</v>
      </c>
      <c r="N23" s="32">
        <f>IFERROR(__xludf.DUMMYFUNCTION("IF(N$6="""", """", IFERROR(SUM(FILTER('기록'!$J:$J, ('기록'!$D:$D=N$6) * (IF($A$2=""전체"", TRUE, (YEAR('기록'!$A:$A)&amp;"""")=$A$2)))), 0))"),0.0)</f>
        <v>0</v>
      </c>
      <c r="O23" s="32">
        <f>IFERROR(__xludf.DUMMYFUNCTION("IF(O$6="""", """", IFERROR(SUM(FILTER('기록'!$J:$J, ('기록'!$D:$D=O$6) * (IF($A$2=""전체"", TRUE, (YEAR('기록'!$A:$A)&amp;"""")=$A$2)))), 0))"),0.0)</f>
        <v>0</v>
      </c>
      <c r="P23" s="32">
        <f>IFERROR(__xludf.DUMMYFUNCTION("IF(P$6="""", """", IFERROR(SUM(FILTER('기록'!$J:$J, ('기록'!$D:$D=P$6) * (IF($A$2=""전체"", TRUE, (YEAR('기록'!$A:$A)&amp;"""")=$A$2)))), 0))"),0.0)</f>
        <v>0</v>
      </c>
      <c r="Q23" s="32">
        <f>IFERROR(__xludf.DUMMYFUNCTION("IF(Q$6="""", """", IFERROR(SUM(FILTER('기록'!$J:$J, ('기록'!$D:$D=Q$6) * (IF($A$2=""전체"", TRUE, (YEAR('기록'!$A:$A)&amp;"""")=$A$2)))), 0))"),0.0)</f>
        <v>0</v>
      </c>
      <c r="R23" s="32">
        <f>IFERROR(__xludf.DUMMYFUNCTION("IF(R$6="""", """", IFERROR(SUM(FILTER('기록'!$J:$J, ('기록'!$D:$D=R$6) * (IF($A$2=""전체"", TRUE, (YEAR('기록'!$A:$A)&amp;"""")=$A$2)))), 0))"),0.0)</f>
        <v>0</v>
      </c>
      <c r="S23" s="32">
        <f>IFERROR(__xludf.DUMMYFUNCTION("IF(S$6="""", """", IFERROR(SUM(FILTER('기록'!$J:$J, ('기록'!$D:$D=S$6) * (IF($A$2=""전체"", TRUE, (YEAR('기록'!$A:$A)&amp;"""")=$A$2)))), 0))"),0.0)</f>
        <v>0</v>
      </c>
      <c r="T23" s="32">
        <f>IFERROR(__xludf.DUMMYFUNCTION("IF(T$6="""", """", IFERROR(SUM(FILTER('기록'!$J:$J, ('기록'!$D:$D=T$6) * (IF($A$2=""전체"", TRUE, (YEAR('기록'!$A:$A)&amp;"""")=$A$2)))), 0))"),0.0)</f>
        <v>0</v>
      </c>
      <c r="U23" s="32">
        <f>IFERROR(__xludf.DUMMYFUNCTION("IF(U$6="""", """", IFERROR(SUM(FILTER('기록'!$J:$J, ('기록'!$D:$D=U$6) * (IF($A$2=""전체"", TRUE, (YEAR('기록'!$A:$A)&amp;"""")=$A$2)))), 0))"),0.0)</f>
        <v>0</v>
      </c>
      <c r="V23" s="32">
        <f>IFERROR(__xludf.DUMMYFUNCTION("IF(V$6="""", """", IFERROR(SUM(FILTER('기록'!$J:$J, ('기록'!$D:$D=V$6) * (IF($A$2=""전체"", TRUE, (YEAR('기록'!$A:$A)&amp;"""")=$A$2)))), 0))"),2.0)</f>
        <v>2</v>
      </c>
      <c r="W23" s="32">
        <f>IFERROR(__xludf.DUMMYFUNCTION("IF(W$6="""", """", IFERROR(SUM(FILTER('기록'!$J:$J, ('기록'!$D:$D=W$6) * (IF($A$2=""전체"", TRUE, (YEAR('기록'!$A:$A)&amp;"""")=$A$2)))), 0))"),0.0)</f>
        <v>0</v>
      </c>
      <c r="X23" s="32">
        <f>IFERROR(__xludf.DUMMYFUNCTION("IF(X$6="""", """", IFERROR(SUM(FILTER('기록'!$J:$J, ('기록'!$D:$D=X$6) * (IF($A$2=""전체"", TRUE, (YEAR('기록'!$A:$A)&amp;"""")=$A$2)))), 0))"),0.0)</f>
        <v>0</v>
      </c>
      <c r="Y23" s="32">
        <f>IFERROR(__xludf.DUMMYFUNCTION("IF(Y$6="""", """", IFERROR(SUM(FILTER('기록'!$J:$J, ('기록'!$D:$D=Y$6) * (IF($A$2=""전체"", TRUE, (YEAR('기록'!$A:$A)&amp;"""")=$A$2)))), 0))"),0.0)</f>
        <v>0</v>
      </c>
      <c r="Z23" s="32">
        <f>IFERROR(__xludf.DUMMYFUNCTION("IF(Z$6="""", """", IFERROR(SUM(FILTER('기록'!$J:$J, ('기록'!$D:$D=Z$6) * (IF($A$2=""전체"", TRUE, (YEAR('기록'!$A:$A)&amp;"""")=$A$2)))), 0))"),0.0)</f>
        <v>0</v>
      </c>
      <c r="AA23" s="32">
        <f>IFERROR(__xludf.DUMMYFUNCTION("IF(AA$6="""", """", IFERROR(SUM(FILTER('기록'!$J:$J, ('기록'!$D:$D=AA$6) * (IF($A$2=""전체"", TRUE, (YEAR('기록'!$A:$A)&amp;"""")=$A$2)))), 0))"),0.0)</f>
        <v>0</v>
      </c>
      <c r="AB23" s="32">
        <f>IFERROR(__xludf.DUMMYFUNCTION("IF(AB$6="""", """", IFERROR(SUM(FILTER('기록'!$J:$J, ('기록'!$D:$D=AB$6) * (IF($A$2=""전체"", TRUE, (YEAR('기록'!$A:$A)&amp;"""")=$A$2)))), 0))"),0.0)</f>
        <v>0</v>
      </c>
      <c r="AC23" s="32">
        <f>IFERROR(__xludf.DUMMYFUNCTION("IF(AC$6="""", """", IFERROR(SUM(FILTER('기록'!$J:$J, ('기록'!$D:$D=AC$6) * (IF($A$2=""전체"", TRUE, (YEAR('기록'!$A:$A)&amp;"""")=$A$2)))), 0))"),0.0)</f>
        <v>0</v>
      </c>
      <c r="AD23" s="32">
        <f>IFERROR(__xludf.DUMMYFUNCTION("IF(AD$6="""", """", IFERROR(SUM(FILTER('기록'!$J:$J, ('기록'!$D:$D=AD$6) * (IF($A$2=""전체"", TRUE, (YEAR('기록'!$A:$A)&amp;"""")=$A$2)))), 0))"),0.0)</f>
        <v>0</v>
      </c>
      <c r="AE23" s="32">
        <f>IFERROR(__xludf.DUMMYFUNCTION("IF(AE$6="""", """", IFERROR(SUM(FILTER('기록'!$J:$J, ('기록'!$D:$D=AE$6) * (IF($A$2=""전체"", TRUE, (YEAR('기록'!$A:$A)&amp;"""")=$A$2)))), 0))"),0.0)</f>
        <v>0</v>
      </c>
      <c r="AF23" s="32">
        <f>IFERROR(__xludf.DUMMYFUNCTION("IF(AF$6="""", """", IFERROR(SUM(FILTER('기록'!$J:$J, ('기록'!$D:$D=AF$6) * (IF($A$2=""전체"", TRUE, (YEAR('기록'!$A:$A)&amp;"""")=$A$2)))), 0))"),0.0)</f>
        <v>0</v>
      </c>
      <c r="AG23" s="32">
        <f>IFERROR(__xludf.DUMMYFUNCTION("IF(AG$6="""", """", IFERROR(SUM(FILTER('기록'!$J:$J, ('기록'!$D:$D=AG$6) * (IF($A$2=""전체"", TRUE, (YEAR('기록'!$A:$A)&amp;"""")=$A$2)))), 0))"),0.0)</f>
        <v>0</v>
      </c>
      <c r="AH23" s="32">
        <f>IFERROR(__xludf.DUMMYFUNCTION("IF(AH$6="""", """", IFERROR(SUM(FILTER('기록'!$J:$J, ('기록'!$D:$D=AH$6) * (IF($A$2=""전체"", TRUE, (YEAR('기록'!$A:$A)&amp;"""")=$A$2)))), 0))"),5.0)</f>
        <v>5</v>
      </c>
      <c r="AI23" s="32">
        <f>IFERROR(__xludf.DUMMYFUNCTION("IF(AI$6="""", """", IFERROR(SUM(FILTER('기록'!$J:$J, ('기록'!$D:$D=AI$6) * (IF($A$2=""전체"", TRUE, (YEAR('기록'!$A:$A)&amp;"""")=$A$2)))), 0))"),2.0)</f>
        <v>2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</row>
    <row r="24">
      <c r="A24" s="48"/>
      <c r="B24" s="48" t="s">
        <v>48</v>
      </c>
      <c r="C24" s="47">
        <f>IFERROR(__xludf.DUMMYFUNCTION("IF(C$6="""", """", IFERROR(SUM(FILTER('기록'!$K:$K, ('기록'!$D:$D=C$6) * (IF($A$2=""전체"", TRUE, (YEAR('기록'!$A:$A)&amp;"""")=$A$2)))), 0))"),0.0)</f>
        <v>0</v>
      </c>
      <c r="D24" s="47">
        <f>IFERROR(__xludf.DUMMYFUNCTION("IF(D$6="""", """", IFERROR(SUM(FILTER('기록'!$K:$K, ('기록'!$D:$D=D$6) * (IF($A$2=""전체"", TRUE, (YEAR('기록'!$A:$A)&amp;"""")=$A$2)))), 0))"),2.0)</f>
        <v>2</v>
      </c>
      <c r="E24" s="47">
        <f>IFERROR(__xludf.DUMMYFUNCTION("IF(E$6="""", """", IFERROR(SUM(FILTER('기록'!$K:$K, ('기록'!$D:$D=E$6) * (IF($A$2=""전체"", TRUE, (YEAR('기록'!$A:$A)&amp;"""")=$A$2)))), 0))"),0.0)</f>
        <v>0</v>
      </c>
      <c r="F24" s="47">
        <f>IFERROR(__xludf.DUMMYFUNCTION("IF(F$6="""", """", IFERROR(SUM(FILTER('기록'!$K:$K, ('기록'!$D:$D=F$6) * (IF($A$2=""전체"", TRUE, (YEAR('기록'!$A:$A)&amp;"""")=$A$2)))), 0))"),0.0)</f>
        <v>0</v>
      </c>
      <c r="G24" s="47">
        <f>IFERROR(__xludf.DUMMYFUNCTION("IF(G$6="""", """", IFERROR(SUM(FILTER('기록'!$K:$K, ('기록'!$D:$D=G$6) * (IF($A$2=""전체"", TRUE, (YEAR('기록'!$A:$A)&amp;"""")=$A$2)))), 0))"),0.0)</f>
        <v>0</v>
      </c>
      <c r="H24" s="47">
        <f>IFERROR(__xludf.DUMMYFUNCTION("IF(H$6="""", """", IFERROR(SUM(FILTER('기록'!$K:$K, ('기록'!$D:$D=H$6) * (IF($A$2=""전체"", TRUE, (YEAR('기록'!$A:$A)&amp;"""")=$A$2)))), 0))"),0.0)</f>
        <v>0</v>
      </c>
      <c r="I24" s="47">
        <f>IFERROR(__xludf.DUMMYFUNCTION("IF(I$6="""", """", IFERROR(SUM(FILTER('기록'!$K:$K, ('기록'!$D:$D=I$6) * (IF($A$2=""전체"", TRUE, (YEAR('기록'!$A:$A)&amp;"""")=$A$2)))), 0))"),1.0)</f>
        <v>1</v>
      </c>
      <c r="J24" s="47">
        <f>IFERROR(__xludf.DUMMYFUNCTION("IF(J$6="""", """", IFERROR(SUM(FILTER('기록'!$K:$K, ('기록'!$D:$D=J$6) * (IF($A$2=""전체"", TRUE, (YEAR('기록'!$A:$A)&amp;"""")=$A$2)))), 0))"),0.0)</f>
        <v>0</v>
      </c>
      <c r="K24" s="47">
        <f>IFERROR(__xludf.DUMMYFUNCTION("IF(K$6="""", """", IFERROR(SUM(FILTER('기록'!$K:$K, ('기록'!$D:$D=K$6) * (IF($A$2=""전체"", TRUE, (YEAR('기록'!$A:$A)&amp;"""")=$A$2)))), 0))"),0.0)</f>
        <v>0</v>
      </c>
      <c r="L24" s="47">
        <f>IFERROR(__xludf.DUMMYFUNCTION("IF(L$6="""", """", IFERROR(SUM(FILTER('기록'!$K:$K, ('기록'!$D:$D=L$6) * (IF($A$2=""전체"", TRUE, (YEAR('기록'!$A:$A)&amp;"""")=$A$2)))), 0))"),0.0)</f>
        <v>0</v>
      </c>
      <c r="M24" s="47">
        <f>IFERROR(__xludf.DUMMYFUNCTION("IF(M$6="""", """", IFERROR(SUM(FILTER('기록'!$K:$K, ('기록'!$D:$D=M$6) * (IF($A$2=""전체"", TRUE, (YEAR('기록'!$A:$A)&amp;"""")=$A$2)))), 0))"),0.0)</f>
        <v>0</v>
      </c>
      <c r="N24" s="47">
        <f>IFERROR(__xludf.DUMMYFUNCTION("IF(N$6="""", """", IFERROR(SUM(FILTER('기록'!$K:$K, ('기록'!$D:$D=N$6) * (IF($A$2=""전체"", TRUE, (YEAR('기록'!$A:$A)&amp;"""")=$A$2)))), 0))"),0.0)</f>
        <v>0</v>
      </c>
      <c r="O24" s="47">
        <f>IFERROR(__xludf.DUMMYFUNCTION("IF(O$6="""", """", IFERROR(SUM(FILTER('기록'!$K:$K, ('기록'!$D:$D=O$6) * (IF($A$2=""전체"", TRUE, (YEAR('기록'!$A:$A)&amp;"""")=$A$2)))), 0))"),0.0)</f>
        <v>0</v>
      </c>
      <c r="P24" s="47">
        <f>IFERROR(__xludf.DUMMYFUNCTION("IF(P$6="""", """", IFERROR(SUM(FILTER('기록'!$K:$K, ('기록'!$D:$D=P$6) * (IF($A$2=""전체"", TRUE, (YEAR('기록'!$A:$A)&amp;"""")=$A$2)))), 0))"),0.0)</f>
        <v>0</v>
      </c>
      <c r="Q24" s="47">
        <f>IFERROR(__xludf.DUMMYFUNCTION("IF(Q$6="""", """", IFERROR(SUM(FILTER('기록'!$K:$K, ('기록'!$D:$D=Q$6) * (IF($A$2=""전체"", TRUE, (YEAR('기록'!$A:$A)&amp;"""")=$A$2)))), 0))"),0.0)</f>
        <v>0</v>
      </c>
      <c r="R24" s="47">
        <f>IFERROR(__xludf.DUMMYFUNCTION("IF(R$6="""", """", IFERROR(SUM(FILTER('기록'!$K:$K, ('기록'!$D:$D=R$6) * (IF($A$2=""전체"", TRUE, (YEAR('기록'!$A:$A)&amp;"""")=$A$2)))), 0))"),0.0)</f>
        <v>0</v>
      </c>
      <c r="S24" s="47">
        <f>IFERROR(__xludf.DUMMYFUNCTION("IF(S$6="""", """", IFERROR(SUM(FILTER('기록'!$K:$K, ('기록'!$D:$D=S$6) * (IF($A$2=""전체"", TRUE, (YEAR('기록'!$A:$A)&amp;"""")=$A$2)))), 0))"),0.0)</f>
        <v>0</v>
      </c>
      <c r="T24" s="47">
        <f>IFERROR(__xludf.DUMMYFUNCTION("IF(T$6="""", """", IFERROR(SUM(FILTER('기록'!$K:$K, ('기록'!$D:$D=T$6) * (IF($A$2=""전체"", TRUE, (YEAR('기록'!$A:$A)&amp;"""")=$A$2)))), 0))"),0.0)</f>
        <v>0</v>
      </c>
      <c r="U24" s="47">
        <f>IFERROR(__xludf.DUMMYFUNCTION("IF(U$6="""", """", IFERROR(SUM(FILTER('기록'!$K:$K, ('기록'!$D:$D=U$6) * (IF($A$2=""전체"", TRUE, (YEAR('기록'!$A:$A)&amp;"""")=$A$2)))), 0))"),0.0)</f>
        <v>0</v>
      </c>
      <c r="V24" s="47">
        <f>IFERROR(__xludf.DUMMYFUNCTION("IF(V$6="""", """", IFERROR(SUM(FILTER('기록'!$K:$K, ('기록'!$D:$D=V$6) * (IF($A$2=""전체"", TRUE, (YEAR('기록'!$A:$A)&amp;"""")=$A$2)))), 0))"),1.0)</f>
        <v>1</v>
      </c>
      <c r="W24" s="47">
        <f>IFERROR(__xludf.DUMMYFUNCTION("IF(W$6="""", """", IFERROR(SUM(FILTER('기록'!$K:$K, ('기록'!$D:$D=W$6) * (IF($A$2=""전체"", TRUE, (YEAR('기록'!$A:$A)&amp;"""")=$A$2)))), 0))"),0.0)</f>
        <v>0</v>
      </c>
      <c r="X24" s="47">
        <f>IFERROR(__xludf.DUMMYFUNCTION("IF(X$6="""", """", IFERROR(SUM(FILTER('기록'!$K:$K, ('기록'!$D:$D=X$6) * (IF($A$2=""전체"", TRUE, (YEAR('기록'!$A:$A)&amp;"""")=$A$2)))), 0))"),0.0)</f>
        <v>0</v>
      </c>
      <c r="Y24" s="47">
        <f>IFERROR(__xludf.DUMMYFUNCTION("IF(Y$6="""", """", IFERROR(SUM(FILTER('기록'!$K:$K, ('기록'!$D:$D=Y$6) * (IF($A$2=""전체"", TRUE, (YEAR('기록'!$A:$A)&amp;"""")=$A$2)))), 0))"),0.0)</f>
        <v>0</v>
      </c>
      <c r="Z24" s="47">
        <f>IFERROR(__xludf.DUMMYFUNCTION("IF(Z$6="""", """", IFERROR(SUM(FILTER('기록'!$K:$K, ('기록'!$D:$D=Z$6) * (IF($A$2=""전체"", TRUE, (YEAR('기록'!$A:$A)&amp;"""")=$A$2)))), 0))"),0.0)</f>
        <v>0</v>
      </c>
      <c r="AA24" s="47">
        <f>IFERROR(__xludf.DUMMYFUNCTION("IF(AA$6="""", """", IFERROR(SUM(FILTER('기록'!$K:$K, ('기록'!$D:$D=AA$6) * (IF($A$2=""전체"", TRUE, (YEAR('기록'!$A:$A)&amp;"""")=$A$2)))), 0))"),0.0)</f>
        <v>0</v>
      </c>
      <c r="AB24" s="47">
        <f>IFERROR(__xludf.DUMMYFUNCTION("IF(AB$6="""", """", IFERROR(SUM(FILTER('기록'!$K:$K, ('기록'!$D:$D=AB$6) * (IF($A$2=""전체"", TRUE, (YEAR('기록'!$A:$A)&amp;"""")=$A$2)))), 0))"),0.0)</f>
        <v>0</v>
      </c>
      <c r="AC24" s="47">
        <f>IFERROR(__xludf.DUMMYFUNCTION("IF(AC$6="""", """", IFERROR(SUM(FILTER('기록'!$K:$K, ('기록'!$D:$D=AC$6) * (IF($A$2=""전체"", TRUE, (YEAR('기록'!$A:$A)&amp;"""")=$A$2)))), 0))"),0.0)</f>
        <v>0</v>
      </c>
      <c r="AD24" s="47">
        <f>IFERROR(__xludf.DUMMYFUNCTION("IF(AD$6="""", """", IFERROR(SUM(FILTER('기록'!$K:$K, ('기록'!$D:$D=AD$6) * (IF($A$2=""전체"", TRUE, (YEAR('기록'!$A:$A)&amp;"""")=$A$2)))), 0))"),0.0)</f>
        <v>0</v>
      </c>
      <c r="AE24" s="47">
        <f>IFERROR(__xludf.DUMMYFUNCTION("IF(AE$6="""", """", IFERROR(SUM(FILTER('기록'!$K:$K, ('기록'!$D:$D=AE$6) * (IF($A$2=""전체"", TRUE, (YEAR('기록'!$A:$A)&amp;"""")=$A$2)))), 0))"),0.0)</f>
        <v>0</v>
      </c>
      <c r="AF24" s="47">
        <f>IFERROR(__xludf.DUMMYFUNCTION("IF(AF$6="""", """", IFERROR(SUM(FILTER('기록'!$K:$K, ('기록'!$D:$D=AF$6) * (IF($A$2=""전체"", TRUE, (YEAR('기록'!$A:$A)&amp;"""")=$A$2)))), 0))"),0.0)</f>
        <v>0</v>
      </c>
      <c r="AG24" s="47">
        <f>IFERROR(__xludf.DUMMYFUNCTION("IF(AG$6="""", """", IFERROR(SUM(FILTER('기록'!$K:$K, ('기록'!$D:$D=AG$6) * (IF($A$2=""전체"", TRUE, (YEAR('기록'!$A:$A)&amp;"""")=$A$2)))), 0))"),0.0)</f>
        <v>0</v>
      </c>
      <c r="AH24" s="47">
        <f>IFERROR(__xludf.DUMMYFUNCTION("IF(AH$6="""", """", IFERROR(SUM(FILTER('기록'!$K:$K, ('기록'!$D:$D=AH$6) * (IF($A$2=""전체"", TRUE, (YEAR('기록'!$A:$A)&amp;"""")=$A$2)))), 0))"),1.0)</f>
        <v>1</v>
      </c>
      <c r="AI24" s="47">
        <f>IFERROR(__xludf.DUMMYFUNCTION("IF(AI$6="""", """", IFERROR(SUM(FILTER('기록'!$K:$K, ('기록'!$D:$D=AI$6) * (IF($A$2=""전체"", TRUE, (YEAR('기록'!$A:$A)&amp;"""")=$A$2)))), 0))"),0.0)</f>
        <v>0</v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</row>
    <row r="25">
      <c r="A25" s="48"/>
      <c r="B25" s="48" t="s">
        <v>49</v>
      </c>
      <c r="C25" s="47">
        <f>IFERROR(__xludf.DUMMYFUNCTION("IF(C$6="""", """", IFERROR(SUM(FILTER('기록'!$L:$L, ('기록'!$D:$D=C$6) * (IF($A$2=""전체"", TRUE, (YEAR('기록'!$A:$A)&amp;"""")=$A$2)))), 0))"),0.0)</f>
        <v>0</v>
      </c>
      <c r="D25" s="47">
        <f>IFERROR(__xludf.DUMMYFUNCTION("IF(D$6="""", """", IFERROR(SUM(FILTER('기록'!$L:$L, ('기록'!$D:$D=D$6) * (IF($A$2=""전체"", TRUE, (YEAR('기록'!$A:$A)&amp;"""")=$A$2)))), 0))"),0.0)</f>
        <v>0</v>
      </c>
      <c r="E25" s="47">
        <f>IFERROR(__xludf.DUMMYFUNCTION("IF(E$6="""", """", IFERROR(SUM(FILTER('기록'!$L:$L, ('기록'!$D:$D=E$6) * (IF($A$2=""전체"", TRUE, (YEAR('기록'!$A:$A)&amp;"""")=$A$2)))), 0))"),0.0)</f>
        <v>0</v>
      </c>
      <c r="F25" s="47">
        <f>IFERROR(__xludf.DUMMYFUNCTION("IF(F$6="""", """", IFERROR(SUM(FILTER('기록'!$L:$L, ('기록'!$D:$D=F$6) * (IF($A$2=""전체"", TRUE, (YEAR('기록'!$A:$A)&amp;"""")=$A$2)))), 0))"),0.0)</f>
        <v>0</v>
      </c>
      <c r="G25" s="47">
        <f>IFERROR(__xludf.DUMMYFUNCTION("IF(G$6="""", """", IFERROR(SUM(FILTER('기록'!$L:$L, ('기록'!$D:$D=G$6) * (IF($A$2=""전체"", TRUE, (YEAR('기록'!$A:$A)&amp;"""")=$A$2)))), 0))"),0.0)</f>
        <v>0</v>
      </c>
      <c r="H25" s="47">
        <f>IFERROR(__xludf.DUMMYFUNCTION("IF(H$6="""", """", IFERROR(SUM(FILTER('기록'!$L:$L, ('기록'!$D:$D=H$6) * (IF($A$2=""전체"", TRUE, (YEAR('기록'!$A:$A)&amp;"""")=$A$2)))), 0))"),0.0)</f>
        <v>0</v>
      </c>
      <c r="I25" s="47">
        <f>IFERROR(__xludf.DUMMYFUNCTION("IF(I$6="""", """", IFERROR(SUM(FILTER('기록'!$L:$L, ('기록'!$D:$D=I$6) * (IF($A$2=""전체"", TRUE, (YEAR('기록'!$A:$A)&amp;"""")=$A$2)))), 0))"),0.0)</f>
        <v>0</v>
      </c>
      <c r="J25" s="47">
        <f>IFERROR(__xludf.DUMMYFUNCTION("IF(J$6="""", """", IFERROR(SUM(FILTER('기록'!$L:$L, ('기록'!$D:$D=J$6) * (IF($A$2=""전체"", TRUE, (YEAR('기록'!$A:$A)&amp;"""")=$A$2)))), 0))"),0.0)</f>
        <v>0</v>
      </c>
      <c r="K25" s="47">
        <f>IFERROR(__xludf.DUMMYFUNCTION("IF(K$6="""", """", IFERROR(SUM(FILTER('기록'!$L:$L, ('기록'!$D:$D=K$6) * (IF($A$2=""전체"", TRUE, (YEAR('기록'!$A:$A)&amp;"""")=$A$2)))), 0))"),0.0)</f>
        <v>0</v>
      </c>
      <c r="L25" s="47">
        <f>IFERROR(__xludf.DUMMYFUNCTION("IF(L$6="""", """", IFERROR(SUM(FILTER('기록'!$L:$L, ('기록'!$D:$D=L$6) * (IF($A$2=""전체"", TRUE, (YEAR('기록'!$A:$A)&amp;"""")=$A$2)))), 0))"),0.0)</f>
        <v>0</v>
      </c>
      <c r="M25" s="47">
        <f>IFERROR(__xludf.DUMMYFUNCTION("IF(M$6="""", """", IFERROR(SUM(FILTER('기록'!$L:$L, ('기록'!$D:$D=M$6) * (IF($A$2=""전체"", TRUE, (YEAR('기록'!$A:$A)&amp;"""")=$A$2)))), 0))"),0.0)</f>
        <v>0</v>
      </c>
      <c r="N25" s="47">
        <f>IFERROR(__xludf.DUMMYFUNCTION("IF(N$6="""", """", IFERROR(SUM(FILTER('기록'!$L:$L, ('기록'!$D:$D=N$6) * (IF($A$2=""전체"", TRUE, (YEAR('기록'!$A:$A)&amp;"""")=$A$2)))), 0))"),0.0)</f>
        <v>0</v>
      </c>
      <c r="O25" s="47">
        <f>IFERROR(__xludf.DUMMYFUNCTION("IF(O$6="""", """", IFERROR(SUM(FILTER('기록'!$L:$L, ('기록'!$D:$D=O$6) * (IF($A$2=""전체"", TRUE, (YEAR('기록'!$A:$A)&amp;"""")=$A$2)))), 0))"),0.0)</f>
        <v>0</v>
      </c>
      <c r="P25" s="47">
        <f>IFERROR(__xludf.DUMMYFUNCTION("IF(P$6="""", """", IFERROR(SUM(FILTER('기록'!$L:$L, ('기록'!$D:$D=P$6) * (IF($A$2=""전체"", TRUE, (YEAR('기록'!$A:$A)&amp;"""")=$A$2)))), 0))"),0.0)</f>
        <v>0</v>
      </c>
      <c r="Q25" s="47">
        <f>IFERROR(__xludf.DUMMYFUNCTION("IF(Q$6="""", """", IFERROR(SUM(FILTER('기록'!$L:$L, ('기록'!$D:$D=Q$6) * (IF($A$2=""전체"", TRUE, (YEAR('기록'!$A:$A)&amp;"""")=$A$2)))), 0))"),0.0)</f>
        <v>0</v>
      </c>
      <c r="R25" s="47">
        <f>IFERROR(__xludf.DUMMYFUNCTION("IF(R$6="""", """", IFERROR(SUM(FILTER('기록'!$L:$L, ('기록'!$D:$D=R$6) * (IF($A$2=""전체"", TRUE, (YEAR('기록'!$A:$A)&amp;"""")=$A$2)))), 0))"),0.0)</f>
        <v>0</v>
      </c>
      <c r="S25" s="47">
        <f>IFERROR(__xludf.DUMMYFUNCTION("IF(S$6="""", """", IFERROR(SUM(FILTER('기록'!$L:$L, ('기록'!$D:$D=S$6) * (IF($A$2=""전체"", TRUE, (YEAR('기록'!$A:$A)&amp;"""")=$A$2)))), 0))"),0.0)</f>
        <v>0</v>
      </c>
      <c r="T25" s="47">
        <f>IFERROR(__xludf.DUMMYFUNCTION("IF(T$6="""", """", IFERROR(SUM(FILTER('기록'!$L:$L, ('기록'!$D:$D=T$6) * (IF($A$2=""전체"", TRUE, (YEAR('기록'!$A:$A)&amp;"""")=$A$2)))), 0))"),0.0)</f>
        <v>0</v>
      </c>
      <c r="U25" s="47">
        <f>IFERROR(__xludf.DUMMYFUNCTION("IF(U$6="""", """", IFERROR(SUM(FILTER('기록'!$L:$L, ('기록'!$D:$D=U$6) * (IF($A$2=""전체"", TRUE, (YEAR('기록'!$A:$A)&amp;"""")=$A$2)))), 0))"),0.0)</f>
        <v>0</v>
      </c>
      <c r="V25" s="47">
        <f>IFERROR(__xludf.DUMMYFUNCTION("IF(V$6="""", """", IFERROR(SUM(FILTER('기록'!$L:$L, ('기록'!$D:$D=V$6) * (IF($A$2=""전체"", TRUE, (YEAR('기록'!$A:$A)&amp;"""")=$A$2)))), 0))"),0.0)</f>
        <v>0</v>
      </c>
      <c r="W25" s="47">
        <f>IFERROR(__xludf.DUMMYFUNCTION("IF(W$6="""", """", IFERROR(SUM(FILTER('기록'!$L:$L, ('기록'!$D:$D=W$6) * (IF($A$2=""전체"", TRUE, (YEAR('기록'!$A:$A)&amp;"""")=$A$2)))), 0))"),0.0)</f>
        <v>0</v>
      </c>
      <c r="X25" s="47">
        <f>IFERROR(__xludf.DUMMYFUNCTION("IF(X$6="""", """", IFERROR(SUM(FILTER('기록'!$L:$L, ('기록'!$D:$D=X$6) * (IF($A$2=""전체"", TRUE, (YEAR('기록'!$A:$A)&amp;"""")=$A$2)))), 0))"),0.0)</f>
        <v>0</v>
      </c>
      <c r="Y25" s="47">
        <f>IFERROR(__xludf.DUMMYFUNCTION("IF(Y$6="""", """", IFERROR(SUM(FILTER('기록'!$L:$L, ('기록'!$D:$D=Y$6) * (IF($A$2=""전체"", TRUE, (YEAR('기록'!$A:$A)&amp;"""")=$A$2)))), 0))"),0.0)</f>
        <v>0</v>
      </c>
      <c r="Z25" s="47">
        <f>IFERROR(__xludf.DUMMYFUNCTION("IF(Z$6="""", """", IFERROR(SUM(FILTER('기록'!$L:$L, ('기록'!$D:$D=Z$6) * (IF($A$2=""전체"", TRUE, (YEAR('기록'!$A:$A)&amp;"""")=$A$2)))), 0))"),0.0)</f>
        <v>0</v>
      </c>
      <c r="AA25" s="47">
        <f>IFERROR(__xludf.DUMMYFUNCTION("IF(AA$6="""", """", IFERROR(SUM(FILTER('기록'!$L:$L, ('기록'!$D:$D=AA$6) * (IF($A$2=""전체"", TRUE, (YEAR('기록'!$A:$A)&amp;"""")=$A$2)))), 0))"),0.0)</f>
        <v>0</v>
      </c>
      <c r="AB25" s="47">
        <f>IFERROR(__xludf.DUMMYFUNCTION("IF(AB$6="""", """", IFERROR(SUM(FILTER('기록'!$L:$L, ('기록'!$D:$D=AB$6) * (IF($A$2=""전체"", TRUE, (YEAR('기록'!$A:$A)&amp;"""")=$A$2)))), 0))"),0.0)</f>
        <v>0</v>
      </c>
      <c r="AC25" s="47">
        <f>IFERROR(__xludf.DUMMYFUNCTION("IF(AC$6="""", """", IFERROR(SUM(FILTER('기록'!$L:$L, ('기록'!$D:$D=AC$6) * (IF($A$2=""전체"", TRUE, (YEAR('기록'!$A:$A)&amp;"""")=$A$2)))), 0))"),0.0)</f>
        <v>0</v>
      </c>
      <c r="AD25" s="47">
        <f>IFERROR(__xludf.DUMMYFUNCTION("IF(AD$6="""", """", IFERROR(SUM(FILTER('기록'!$L:$L, ('기록'!$D:$D=AD$6) * (IF($A$2=""전체"", TRUE, (YEAR('기록'!$A:$A)&amp;"""")=$A$2)))), 0))"),0.0)</f>
        <v>0</v>
      </c>
      <c r="AE25" s="47">
        <f>IFERROR(__xludf.DUMMYFUNCTION("IF(AE$6="""", """", IFERROR(SUM(FILTER('기록'!$L:$L, ('기록'!$D:$D=AE$6) * (IF($A$2=""전체"", TRUE, (YEAR('기록'!$A:$A)&amp;"""")=$A$2)))), 0))"),0.0)</f>
        <v>0</v>
      </c>
      <c r="AF25" s="47">
        <f>IFERROR(__xludf.DUMMYFUNCTION("IF(AF$6="""", """", IFERROR(SUM(FILTER('기록'!$L:$L, ('기록'!$D:$D=AF$6) * (IF($A$2=""전체"", TRUE, (YEAR('기록'!$A:$A)&amp;"""")=$A$2)))), 0))"),0.0)</f>
        <v>0</v>
      </c>
      <c r="AG25" s="47">
        <f>IFERROR(__xludf.DUMMYFUNCTION("IF(AG$6="""", """", IFERROR(SUM(FILTER('기록'!$L:$L, ('기록'!$D:$D=AG$6) * (IF($A$2=""전체"", TRUE, (YEAR('기록'!$A:$A)&amp;"""")=$A$2)))), 0))"),0.0)</f>
        <v>0</v>
      </c>
      <c r="AH25" s="47">
        <f>IFERROR(__xludf.DUMMYFUNCTION("IF(AH$6="""", """", IFERROR(SUM(FILTER('기록'!$L:$L, ('기록'!$D:$D=AH$6) * (IF($A$2=""전체"", TRUE, (YEAR('기록'!$A:$A)&amp;"""")=$A$2)))), 0))"),0.0)</f>
        <v>0</v>
      </c>
      <c r="AI25" s="47">
        <f>IFERROR(__xludf.DUMMYFUNCTION("IF(AI$6="""", """", IFERROR(SUM(FILTER('기록'!$L:$L, ('기록'!$D:$D=AI$6) * (IF($A$2=""전체"", TRUE, (YEAR('기록'!$A:$A)&amp;"""")=$A$2)))), 0))"),0.0)</f>
        <v>0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</row>
    <row r="26">
      <c r="A26" s="48"/>
      <c r="B26" s="48" t="s">
        <v>50</v>
      </c>
      <c r="C26" s="47">
        <f>IFERROR(__xludf.DUMMYFUNCTION("IF(C$6="""", """", IFERROR(SUM(FILTER('기록'!$M:$M, ('기록'!$D:$D=C$6) * (IF($A$2=""전체"", TRUE, (YEAR('기록'!$A:$A)&amp;"""")=$A$2)))), 0))"),0.0)</f>
        <v>0</v>
      </c>
      <c r="D26" s="47">
        <f>IFERROR(__xludf.DUMMYFUNCTION("IF(D$6="""", """", IFERROR(SUM(FILTER('기록'!$M:$M, ('기록'!$D:$D=D$6) * (IF($A$2=""전체"", TRUE, (YEAR('기록'!$A:$A)&amp;"""")=$A$2)))), 0))"),0.0)</f>
        <v>0</v>
      </c>
      <c r="E26" s="47">
        <f>IFERROR(__xludf.DUMMYFUNCTION("IF(E$6="""", """", IFERROR(SUM(FILTER('기록'!$M:$M, ('기록'!$D:$D=E$6) * (IF($A$2=""전체"", TRUE, (YEAR('기록'!$A:$A)&amp;"""")=$A$2)))), 0))"),0.0)</f>
        <v>0</v>
      </c>
      <c r="F26" s="47">
        <f>IFERROR(__xludf.DUMMYFUNCTION("IF(F$6="""", """", IFERROR(SUM(FILTER('기록'!$M:$M, ('기록'!$D:$D=F$6) * (IF($A$2=""전체"", TRUE, (YEAR('기록'!$A:$A)&amp;"""")=$A$2)))), 0))"),0.0)</f>
        <v>0</v>
      </c>
      <c r="G26" s="47">
        <f>IFERROR(__xludf.DUMMYFUNCTION("IF(G$6="""", """", IFERROR(SUM(FILTER('기록'!$M:$M, ('기록'!$D:$D=G$6) * (IF($A$2=""전체"", TRUE, (YEAR('기록'!$A:$A)&amp;"""")=$A$2)))), 0))"),0.0)</f>
        <v>0</v>
      </c>
      <c r="H26" s="47">
        <f>IFERROR(__xludf.DUMMYFUNCTION("IF(H$6="""", """", IFERROR(SUM(FILTER('기록'!$M:$M, ('기록'!$D:$D=H$6) * (IF($A$2=""전체"", TRUE, (YEAR('기록'!$A:$A)&amp;"""")=$A$2)))), 0))"),0.0)</f>
        <v>0</v>
      </c>
      <c r="I26" s="47">
        <f>IFERROR(__xludf.DUMMYFUNCTION("IF(I$6="""", """", IFERROR(SUM(FILTER('기록'!$M:$M, ('기록'!$D:$D=I$6) * (IF($A$2=""전체"", TRUE, (YEAR('기록'!$A:$A)&amp;"""")=$A$2)))), 0))"),0.0)</f>
        <v>0</v>
      </c>
      <c r="J26" s="47">
        <f>IFERROR(__xludf.DUMMYFUNCTION("IF(J$6="""", """", IFERROR(SUM(FILTER('기록'!$M:$M, ('기록'!$D:$D=J$6) * (IF($A$2=""전체"", TRUE, (YEAR('기록'!$A:$A)&amp;"""")=$A$2)))), 0))"),0.0)</f>
        <v>0</v>
      </c>
      <c r="K26" s="47">
        <f>IFERROR(__xludf.DUMMYFUNCTION("IF(K$6="""", """", IFERROR(SUM(FILTER('기록'!$M:$M, ('기록'!$D:$D=K$6) * (IF($A$2=""전체"", TRUE, (YEAR('기록'!$A:$A)&amp;"""")=$A$2)))), 0))"),0.0)</f>
        <v>0</v>
      </c>
      <c r="L26" s="47">
        <f>IFERROR(__xludf.DUMMYFUNCTION("IF(L$6="""", """", IFERROR(SUM(FILTER('기록'!$M:$M, ('기록'!$D:$D=L$6) * (IF($A$2=""전체"", TRUE, (YEAR('기록'!$A:$A)&amp;"""")=$A$2)))), 0))"),0.0)</f>
        <v>0</v>
      </c>
      <c r="M26" s="47">
        <f>IFERROR(__xludf.DUMMYFUNCTION("IF(M$6="""", """", IFERROR(SUM(FILTER('기록'!$M:$M, ('기록'!$D:$D=M$6) * (IF($A$2=""전체"", TRUE, (YEAR('기록'!$A:$A)&amp;"""")=$A$2)))), 0))"),0.0)</f>
        <v>0</v>
      </c>
      <c r="N26" s="47">
        <f>IFERROR(__xludf.DUMMYFUNCTION("IF(N$6="""", """", IFERROR(SUM(FILTER('기록'!$M:$M, ('기록'!$D:$D=N$6) * (IF($A$2=""전체"", TRUE, (YEAR('기록'!$A:$A)&amp;"""")=$A$2)))), 0))"),0.0)</f>
        <v>0</v>
      </c>
      <c r="O26" s="47">
        <f>IFERROR(__xludf.DUMMYFUNCTION("IF(O$6="""", """", IFERROR(SUM(FILTER('기록'!$M:$M, ('기록'!$D:$D=O$6) * (IF($A$2=""전체"", TRUE, (YEAR('기록'!$A:$A)&amp;"""")=$A$2)))), 0))"),0.0)</f>
        <v>0</v>
      </c>
      <c r="P26" s="47">
        <f>IFERROR(__xludf.DUMMYFUNCTION("IF(P$6="""", """", IFERROR(SUM(FILTER('기록'!$M:$M, ('기록'!$D:$D=P$6) * (IF($A$2=""전체"", TRUE, (YEAR('기록'!$A:$A)&amp;"""")=$A$2)))), 0))"),0.0)</f>
        <v>0</v>
      </c>
      <c r="Q26" s="47">
        <f>IFERROR(__xludf.DUMMYFUNCTION("IF(Q$6="""", """", IFERROR(SUM(FILTER('기록'!$M:$M, ('기록'!$D:$D=Q$6) * (IF($A$2=""전체"", TRUE, (YEAR('기록'!$A:$A)&amp;"""")=$A$2)))), 0))"),0.0)</f>
        <v>0</v>
      </c>
      <c r="R26" s="47">
        <f>IFERROR(__xludf.DUMMYFUNCTION("IF(R$6="""", """", IFERROR(SUM(FILTER('기록'!$M:$M, ('기록'!$D:$D=R$6) * (IF($A$2=""전체"", TRUE, (YEAR('기록'!$A:$A)&amp;"""")=$A$2)))), 0))"),0.0)</f>
        <v>0</v>
      </c>
      <c r="S26" s="47">
        <f>IFERROR(__xludf.DUMMYFUNCTION("IF(S$6="""", """", IFERROR(SUM(FILTER('기록'!$M:$M, ('기록'!$D:$D=S$6) * (IF($A$2=""전체"", TRUE, (YEAR('기록'!$A:$A)&amp;"""")=$A$2)))), 0))"),0.0)</f>
        <v>0</v>
      </c>
      <c r="T26" s="47">
        <f>IFERROR(__xludf.DUMMYFUNCTION("IF(T$6="""", """", IFERROR(SUM(FILTER('기록'!$M:$M, ('기록'!$D:$D=T$6) * (IF($A$2=""전체"", TRUE, (YEAR('기록'!$A:$A)&amp;"""")=$A$2)))), 0))"),0.0)</f>
        <v>0</v>
      </c>
      <c r="U26" s="47">
        <f>IFERROR(__xludf.DUMMYFUNCTION("IF(U$6="""", """", IFERROR(SUM(FILTER('기록'!$M:$M, ('기록'!$D:$D=U$6) * (IF($A$2=""전체"", TRUE, (YEAR('기록'!$A:$A)&amp;"""")=$A$2)))), 0))"),0.0)</f>
        <v>0</v>
      </c>
      <c r="V26" s="47">
        <f>IFERROR(__xludf.DUMMYFUNCTION("IF(V$6="""", """", IFERROR(SUM(FILTER('기록'!$M:$M, ('기록'!$D:$D=V$6) * (IF($A$2=""전체"", TRUE, (YEAR('기록'!$A:$A)&amp;"""")=$A$2)))), 0))"),0.0)</f>
        <v>0</v>
      </c>
      <c r="W26" s="47">
        <f>IFERROR(__xludf.DUMMYFUNCTION("IF(W$6="""", """", IFERROR(SUM(FILTER('기록'!$M:$M, ('기록'!$D:$D=W$6) * (IF($A$2=""전체"", TRUE, (YEAR('기록'!$A:$A)&amp;"""")=$A$2)))), 0))"),0.0)</f>
        <v>0</v>
      </c>
      <c r="X26" s="47">
        <f>IFERROR(__xludf.DUMMYFUNCTION("IF(X$6="""", """", IFERROR(SUM(FILTER('기록'!$M:$M, ('기록'!$D:$D=X$6) * (IF($A$2=""전체"", TRUE, (YEAR('기록'!$A:$A)&amp;"""")=$A$2)))), 0))"),0.0)</f>
        <v>0</v>
      </c>
      <c r="Y26" s="47">
        <f>IFERROR(__xludf.DUMMYFUNCTION("IF(Y$6="""", """", IFERROR(SUM(FILTER('기록'!$M:$M, ('기록'!$D:$D=Y$6) * (IF($A$2=""전체"", TRUE, (YEAR('기록'!$A:$A)&amp;"""")=$A$2)))), 0))"),0.0)</f>
        <v>0</v>
      </c>
      <c r="Z26" s="47">
        <f>IFERROR(__xludf.DUMMYFUNCTION("IF(Z$6="""", """", IFERROR(SUM(FILTER('기록'!$M:$M, ('기록'!$D:$D=Z$6) * (IF($A$2=""전체"", TRUE, (YEAR('기록'!$A:$A)&amp;"""")=$A$2)))), 0))"),0.0)</f>
        <v>0</v>
      </c>
      <c r="AA26" s="47">
        <f>IFERROR(__xludf.DUMMYFUNCTION("IF(AA$6="""", """", IFERROR(SUM(FILTER('기록'!$M:$M, ('기록'!$D:$D=AA$6) * (IF($A$2=""전체"", TRUE, (YEAR('기록'!$A:$A)&amp;"""")=$A$2)))), 0))"),0.0)</f>
        <v>0</v>
      </c>
      <c r="AB26" s="47">
        <f>IFERROR(__xludf.DUMMYFUNCTION("IF(AB$6="""", """", IFERROR(SUM(FILTER('기록'!$M:$M, ('기록'!$D:$D=AB$6) * (IF($A$2=""전체"", TRUE, (YEAR('기록'!$A:$A)&amp;"""")=$A$2)))), 0))"),0.0)</f>
        <v>0</v>
      </c>
      <c r="AC26" s="47">
        <f>IFERROR(__xludf.DUMMYFUNCTION("IF(AC$6="""", """", IFERROR(SUM(FILTER('기록'!$M:$M, ('기록'!$D:$D=AC$6) * (IF($A$2=""전체"", TRUE, (YEAR('기록'!$A:$A)&amp;"""")=$A$2)))), 0))"),0.0)</f>
        <v>0</v>
      </c>
      <c r="AD26" s="47">
        <f>IFERROR(__xludf.DUMMYFUNCTION("IF(AD$6="""", """", IFERROR(SUM(FILTER('기록'!$M:$M, ('기록'!$D:$D=AD$6) * (IF($A$2=""전체"", TRUE, (YEAR('기록'!$A:$A)&amp;"""")=$A$2)))), 0))"),0.0)</f>
        <v>0</v>
      </c>
      <c r="AE26" s="47">
        <f>IFERROR(__xludf.DUMMYFUNCTION("IF(AE$6="""", """", IFERROR(SUM(FILTER('기록'!$M:$M, ('기록'!$D:$D=AE$6) * (IF($A$2=""전체"", TRUE, (YEAR('기록'!$A:$A)&amp;"""")=$A$2)))), 0))"),0.0)</f>
        <v>0</v>
      </c>
      <c r="AF26" s="47">
        <f>IFERROR(__xludf.DUMMYFUNCTION("IF(AF$6="""", """", IFERROR(SUM(FILTER('기록'!$M:$M, ('기록'!$D:$D=AF$6) * (IF($A$2=""전체"", TRUE, (YEAR('기록'!$A:$A)&amp;"""")=$A$2)))), 0))"),0.0)</f>
        <v>0</v>
      </c>
      <c r="AG26" s="47">
        <f>IFERROR(__xludf.DUMMYFUNCTION("IF(AG$6="""", """", IFERROR(SUM(FILTER('기록'!$M:$M, ('기록'!$D:$D=AG$6) * (IF($A$2=""전체"", TRUE, (YEAR('기록'!$A:$A)&amp;"""")=$A$2)))), 0))"),0.0)</f>
        <v>0</v>
      </c>
      <c r="AH26" s="47">
        <f>IFERROR(__xludf.DUMMYFUNCTION("IF(AH$6="""", """", IFERROR(SUM(FILTER('기록'!$M:$M, ('기록'!$D:$D=AH$6) * (IF($A$2=""전체"", TRUE, (YEAR('기록'!$A:$A)&amp;"""")=$A$2)))), 0))"),0.0)</f>
        <v>0</v>
      </c>
      <c r="AI26" s="47">
        <f>IFERROR(__xludf.DUMMYFUNCTION("IF(AI$6="""", """", IFERROR(SUM(FILTER('기록'!$M:$M, ('기록'!$D:$D=AI$6) * (IF($A$2=""전체"", TRUE, (YEAR('기록'!$A:$A)&amp;"""")=$A$2)))), 0))"),0.0)</f>
        <v>0</v>
      </c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</row>
    <row r="27">
      <c r="A27" s="48"/>
      <c r="B27" s="48" t="s">
        <v>80</v>
      </c>
      <c r="C27" s="47">
        <f>IFERROR(__xludf.DUMMYFUNCTION("IF(C$6="""", """", IFERROR(SUM(FILTER('기록'!$N:$N, ('기록'!$D:$D=C$6) * (IF($A$2=""전체"", TRUE, (YEAR('기록'!$A:$A)&amp;"""")=$A$2)))), 0))"),0.0)</f>
        <v>0</v>
      </c>
      <c r="D27" s="47">
        <f>IFERROR(__xludf.DUMMYFUNCTION("IF(D$6="""", """", IFERROR(SUM(FILTER('기록'!$N:$N, ('기록'!$D:$D=D$6) * (IF($A$2=""전체"", TRUE, (YEAR('기록'!$A:$A)&amp;"""")=$A$2)))), 0))"),0.0)</f>
        <v>0</v>
      </c>
      <c r="E27" s="47">
        <f>IFERROR(__xludf.DUMMYFUNCTION("IF(E$6="""", """", IFERROR(SUM(FILTER('기록'!$N:$N, ('기록'!$D:$D=E$6) * (IF($A$2=""전체"", TRUE, (YEAR('기록'!$A:$A)&amp;"""")=$A$2)))), 0))"),0.0)</f>
        <v>0</v>
      </c>
      <c r="F27" s="47">
        <f>IFERROR(__xludf.DUMMYFUNCTION("IF(F$6="""", """", IFERROR(SUM(FILTER('기록'!$N:$N, ('기록'!$D:$D=F$6) * (IF($A$2=""전체"", TRUE, (YEAR('기록'!$A:$A)&amp;"""")=$A$2)))), 0))"),0.0)</f>
        <v>0</v>
      </c>
      <c r="G27" s="47">
        <f>IFERROR(__xludf.DUMMYFUNCTION("IF(G$6="""", """", IFERROR(SUM(FILTER('기록'!$N:$N, ('기록'!$D:$D=G$6) * (IF($A$2=""전체"", TRUE, (YEAR('기록'!$A:$A)&amp;"""")=$A$2)))), 0))"),0.0)</f>
        <v>0</v>
      </c>
      <c r="H27" s="47">
        <f>IFERROR(__xludf.DUMMYFUNCTION("IF(H$6="""", """", IFERROR(SUM(FILTER('기록'!$N:$N, ('기록'!$D:$D=H$6) * (IF($A$2=""전체"", TRUE, (YEAR('기록'!$A:$A)&amp;"""")=$A$2)))), 0))"),0.0)</f>
        <v>0</v>
      </c>
      <c r="I27" s="47">
        <f>IFERROR(__xludf.DUMMYFUNCTION("IF(I$6="""", """", IFERROR(SUM(FILTER('기록'!$N:$N, ('기록'!$D:$D=I$6) * (IF($A$2=""전체"", TRUE, (YEAR('기록'!$A:$A)&amp;"""")=$A$2)))), 0))"),0.0)</f>
        <v>0</v>
      </c>
      <c r="J27" s="47">
        <f>IFERROR(__xludf.DUMMYFUNCTION("IF(J$6="""", """", IFERROR(SUM(FILTER('기록'!$N:$N, ('기록'!$D:$D=J$6) * (IF($A$2=""전체"", TRUE, (YEAR('기록'!$A:$A)&amp;"""")=$A$2)))), 0))"),0.0)</f>
        <v>0</v>
      </c>
      <c r="K27" s="47">
        <f>IFERROR(__xludf.DUMMYFUNCTION("IF(K$6="""", """", IFERROR(SUM(FILTER('기록'!$N:$N, ('기록'!$D:$D=K$6) * (IF($A$2=""전체"", TRUE, (YEAR('기록'!$A:$A)&amp;"""")=$A$2)))), 0))"),0.0)</f>
        <v>0</v>
      </c>
      <c r="L27" s="47">
        <f>IFERROR(__xludf.DUMMYFUNCTION("IF(L$6="""", """", IFERROR(SUM(FILTER('기록'!$N:$N, ('기록'!$D:$D=L$6) * (IF($A$2=""전체"", TRUE, (YEAR('기록'!$A:$A)&amp;"""")=$A$2)))), 0))"),0.0)</f>
        <v>0</v>
      </c>
      <c r="M27" s="47">
        <f>IFERROR(__xludf.DUMMYFUNCTION("IF(M$6="""", """", IFERROR(SUM(FILTER('기록'!$N:$N, ('기록'!$D:$D=M$6) * (IF($A$2=""전체"", TRUE, (YEAR('기록'!$A:$A)&amp;"""")=$A$2)))), 0))"),0.0)</f>
        <v>0</v>
      </c>
      <c r="N27" s="47">
        <f>IFERROR(__xludf.DUMMYFUNCTION("IF(N$6="""", """", IFERROR(SUM(FILTER('기록'!$N:$N, ('기록'!$D:$D=N$6) * (IF($A$2=""전체"", TRUE, (YEAR('기록'!$A:$A)&amp;"""")=$A$2)))), 0))"),0.0)</f>
        <v>0</v>
      </c>
      <c r="O27" s="47">
        <f>IFERROR(__xludf.DUMMYFUNCTION("IF(O$6="""", """", IFERROR(SUM(FILTER('기록'!$N:$N, ('기록'!$D:$D=O$6) * (IF($A$2=""전체"", TRUE, (YEAR('기록'!$A:$A)&amp;"""")=$A$2)))), 0))"),0.0)</f>
        <v>0</v>
      </c>
      <c r="P27" s="47">
        <f>IFERROR(__xludf.DUMMYFUNCTION("IF(P$6="""", """", IFERROR(SUM(FILTER('기록'!$N:$N, ('기록'!$D:$D=P$6) * (IF($A$2=""전체"", TRUE, (YEAR('기록'!$A:$A)&amp;"""")=$A$2)))), 0))"),0.0)</f>
        <v>0</v>
      </c>
      <c r="Q27" s="47">
        <f>IFERROR(__xludf.DUMMYFUNCTION("IF(Q$6="""", """", IFERROR(SUM(FILTER('기록'!$N:$N, ('기록'!$D:$D=Q$6) * (IF($A$2=""전체"", TRUE, (YEAR('기록'!$A:$A)&amp;"""")=$A$2)))), 0))"),0.0)</f>
        <v>0</v>
      </c>
      <c r="R27" s="47">
        <f>IFERROR(__xludf.DUMMYFUNCTION("IF(R$6="""", """", IFERROR(SUM(FILTER('기록'!$N:$N, ('기록'!$D:$D=R$6) * (IF($A$2=""전체"", TRUE, (YEAR('기록'!$A:$A)&amp;"""")=$A$2)))), 0))"),0.0)</f>
        <v>0</v>
      </c>
      <c r="S27" s="47">
        <f>IFERROR(__xludf.DUMMYFUNCTION("IF(S$6="""", """", IFERROR(SUM(FILTER('기록'!$N:$N, ('기록'!$D:$D=S$6) * (IF($A$2=""전체"", TRUE, (YEAR('기록'!$A:$A)&amp;"""")=$A$2)))), 0))"),0.0)</f>
        <v>0</v>
      </c>
      <c r="T27" s="47">
        <f>IFERROR(__xludf.DUMMYFUNCTION("IF(T$6="""", """", IFERROR(SUM(FILTER('기록'!$N:$N, ('기록'!$D:$D=T$6) * (IF($A$2=""전체"", TRUE, (YEAR('기록'!$A:$A)&amp;"""")=$A$2)))), 0))"),0.0)</f>
        <v>0</v>
      </c>
      <c r="U27" s="47">
        <f>IFERROR(__xludf.DUMMYFUNCTION("IF(U$6="""", """", IFERROR(SUM(FILTER('기록'!$N:$N, ('기록'!$D:$D=U$6) * (IF($A$2=""전체"", TRUE, (YEAR('기록'!$A:$A)&amp;"""")=$A$2)))), 0))"),0.0)</f>
        <v>0</v>
      </c>
      <c r="V27" s="47">
        <f>IFERROR(__xludf.DUMMYFUNCTION("IF(V$6="""", """", IFERROR(SUM(FILTER('기록'!$N:$N, ('기록'!$D:$D=V$6) * (IF($A$2=""전체"", TRUE, (YEAR('기록'!$A:$A)&amp;"""")=$A$2)))), 0))"),0.0)</f>
        <v>0</v>
      </c>
      <c r="W27" s="47">
        <f>IFERROR(__xludf.DUMMYFUNCTION("IF(W$6="""", """", IFERROR(SUM(FILTER('기록'!$N:$N, ('기록'!$D:$D=W$6) * (IF($A$2=""전체"", TRUE, (YEAR('기록'!$A:$A)&amp;"""")=$A$2)))), 0))"),0.0)</f>
        <v>0</v>
      </c>
      <c r="X27" s="47">
        <f>IFERROR(__xludf.DUMMYFUNCTION("IF(X$6="""", """", IFERROR(SUM(FILTER('기록'!$N:$N, ('기록'!$D:$D=X$6) * (IF($A$2=""전체"", TRUE, (YEAR('기록'!$A:$A)&amp;"""")=$A$2)))), 0))"),0.0)</f>
        <v>0</v>
      </c>
      <c r="Y27" s="47">
        <f>IFERROR(__xludf.DUMMYFUNCTION("IF(Y$6="""", """", IFERROR(SUM(FILTER('기록'!$N:$N, ('기록'!$D:$D=Y$6) * (IF($A$2=""전체"", TRUE, (YEAR('기록'!$A:$A)&amp;"""")=$A$2)))), 0))"),0.0)</f>
        <v>0</v>
      </c>
      <c r="Z27" s="47">
        <f>IFERROR(__xludf.DUMMYFUNCTION("IF(Z$6="""", """", IFERROR(SUM(FILTER('기록'!$N:$N, ('기록'!$D:$D=Z$6) * (IF($A$2=""전체"", TRUE, (YEAR('기록'!$A:$A)&amp;"""")=$A$2)))), 0))"),0.0)</f>
        <v>0</v>
      </c>
      <c r="AA27" s="47">
        <f>IFERROR(__xludf.DUMMYFUNCTION("IF(AA$6="""", """", IFERROR(SUM(FILTER('기록'!$N:$N, ('기록'!$D:$D=AA$6) * (IF($A$2=""전체"", TRUE, (YEAR('기록'!$A:$A)&amp;"""")=$A$2)))), 0))"),0.0)</f>
        <v>0</v>
      </c>
      <c r="AB27" s="47">
        <f>IFERROR(__xludf.DUMMYFUNCTION("IF(AB$6="""", """", IFERROR(SUM(FILTER('기록'!$N:$N, ('기록'!$D:$D=AB$6) * (IF($A$2=""전체"", TRUE, (YEAR('기록'!$A:$A)&amp;"""")=$A$2)))), 0))"),0.0)</f>
        <v>0</v>
      </c>
      <c r="AC27" s="47">
        <f>IFERROR(__xludf.DUMMYFUNCTION("IF(AC$6="""", """", IFERROR(SUM(FILTER('기록'!$N:$N, ('기록'!$D:$D=AC$6) * (IF($A$2=""전체"", TRUE, (YEAR('기록'!$A:$A)&amp;"""")=$A$2)))), 0))"),0.0)</f>
        <v>0</v>
      </c>
      <c r="AD27" s="47">
        <f>IFERROR(__xludf.DUMMYFUNCTION("IF(AD$6="""", """", IFERROR(SUM(FILTER('기록'!$N:$N, ('기록'!$D:$D=AD$6) * (IF($A$2=""전체"", TRUE, (YEAR('기록'!$A:$A)&amp;"""")=$A$2)))), 0))"),0.0)</f>
        <v>0</v>
      </c>
      <c r="AE27" s="47">
        <f>IFERROR(__xludf.DUMMYFUNCTION("IF(AE$6="""", """", IFERROR(SUM(FILTER('기록'!$N:$N, ('기록'!$D:$D=AE$6) * (IF($A$2=""전체"", TRUE, (YEAR('기록'!$A:$A)&amp;"""")=$A$2)))), 0))"),0.0)</f>
        <v>0</v>
      </c>
      <c r="AF27" s="47">
        <f>IFERROR(__xludf.DUMMYFUNCTION("IF(AF$6="""", """", IFERROR(SUM(FILTER('기록'!$N:$N, ('기록'!$D:$D=AF$6) * (IF($A$2=""전체"", TRUE, (YEAR('기록'!$A:$A)&amp;"""")=$A$2)))), 0))"),0.0)</f>
        <v>0</v>
      </c>
      <c r="AG27" s="47">
        <f>IFERROR(__xludf.DUMMYFUNCTION("IF(AG$6="""", """", IFERROR(SUM(FILTER('기록'!$N:$N, ('기록'!$D:$D=AG$6) * (IF($A$2=""전체"", TRUE, (YEAR('기록'!$A:$A)&amp;"""")=$A$2)))), 0))"),0.0)</f>
        <v>0</v>
      </c>
      <c r="AH27" s="47">
        <f>IFERROR(__xludf.DUMMYFUNCTION("IF(AH$6="""", """", IFERROR(SUM(FILTER('기록'!$N:$N, ('기록'!$D:$D=AH$6) * (IF($A$2=""전체"", TRUE, (YEAR('기록'!$A:$A)&amp;"""")=$A$2)))), 0))"),0.0)</f>
        <v>0</v>
      </c>
      <c r="AI27" s="47">
        <f>IFERROR(__xludf.DUMMYFUNCTION("IF(AI$6="""", """", IFERROR(SUM(FILTER('기록'!$N:$N, ('기록'!$D:$D=AI$6) * (IF($A$2=""전체"", TRUE, (YEAR('기록'!$A:$A)&amp;"""")=$A$2)))), 0))"),0.0)</f>
        <v>0</v>
      </c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</row>
    <row r="28">
      <c r="A28" s="48"/>
      <c r="B28" s="48" t="s">
        <v>81</v>
      </c>
      <c r="C28" s="47">
        <f>IFERROR(__xludf.DUMMYFUNCTION("IF(C$6="""", """", IFERROR(SUM(FILTER('기록'!$O:$O, ('기록'!$D:$D=C$6) * (IF($A$2=""전체"", TRUE, (YEAR('기록'!$A:$A)&amp;"""")=$A$2)))), 0))"),0.0)</f>
        <v>0</v>
      </c>
      <c r="D28" s="47">
        <f>IFERROR(__xludf.DUMMYFUNCTION("IF(D$6="""", """", IFERROR(SUM(FILTER('기록'!$O:$O, ('기록'!$D:$D=D$6) * (IF($A$2=""전체"", TRUE, (YEAR('기록'!$A:$A)&amp;"""")=$A$2)))), 0))"),0.0)</f>
        <v>0</v>
      </c>
      <c r="E28" s="47">
        <f>IFERROR(__xludf.DUMMYFUNCTION("IF(E$6="""", """", IFERROR(SUM(FILTER('기록'!$O:$O, ('기록'!$D:$D=E$6) * (IF($A$2=""전체"", TRUE, (YEAR('기록'!$A:$A)&amp;"""")=$A$2)))), 0))"),0.0)</f>
        <v>0</v>
      </c>
      <c r="F28" s="47">
        <f>IFERROR(__xludf.DUMMYFUNCTION("IF(F$6="""", """", IFERROR(SUM(FILTER('기록'!$O:$O, ('기록'!$D:$D=F$6) * (IF($A$2=""전체"", TRUE, (YEAR('기록'!$A:$A)&amp;"""")=$A$2)))), 0))"),0.0)</f>
        <v>0</v>
      </c>
      <c r="G28" s="47">
        <f>IFERROR(__xludf.DUMMYFUNCTION("IF(G$6="""", """", IFERROR(SUM(FILTER('기록'!$O:$O, ('기록'!$D:$D=G$6) * (IF($A$2=""전체"", TRUE, (YEAR('기록'!$A:$A)&amp;"""")=$A$2)))), 0))"),0.0)</f>
        <v>0</v>
      </c>
      <c r="H28" s="47">
        <f>IFERROR(__xludf.DUMMYFUNCTION("IF(H$6="""", """", IFERROR(SUM(FILTER('기록'!$O:$O, ('기록'!$D:$D=H$6) * (IF($A$2=""전체"", TRUE, (YEAR('기록'!$A:$A)&amp;"""")=$A$2)))), 0))"),0.0)</f>
        <v>0</v>
      </c>
      <c r="I28" s="47">
        <f>IFERROR(__xludf.DUMMYFUNCTION("IF(I$6="""", """", IFERROR(SUM(FILTER('기록'!$O:$O, ('기록'!$D:$D=I$6) * (IF($A$2=""전체"", TRUE, (YEAR('기록'!$A:$A)&amp;"""")=$A$2)))), 0))"),0.0)</f>
        <v>0</v>
      </c>
      <c r="J28" s="47">
        <f>IFERROR(__xludf.DUMMYFUNCTION("IF(J$6="""", """", IFERROR(SUM(FILTER('기록'!$O:$O, ('기록'!$D:$D=J$6) * (IF($A$2=""전체"", TRUE, (YEAR('기록'!$A:$A)&amp;"""")=$A$2)))), 0))"),0.0)</f>
        <v>0</v>
      </c>
      <c r="K28" s="47">
        <f>IFERROR(__xludf.DUMMYFUNCTION("IF(K$6="""", """", IFERROR(SUM(FILTER('기록'!$O:$O, ('기록'!$D:$D=K$6) * (IF($A$2=""전체"", TRUE, (YEAR('기록'!$A:$A)&amp;"""")=$A$2)))), 0))"),0.0)</f>
        <v>0</v>
      </c>
      <c r="L28" s="47">
        <f>IFERROR(__xludf.DUMMYFUNCTION("IF(L$6="""", """", IFERROR(SUM(FILTER('기록'!$O:$O, ('기록'!$D:$D=L$6) * (IF($A$2=""전체"", TRUE, (YEAR('기록'!$A:$A)&amp;"""")=$A$2)))), 0))"),0.0)</f>
        <v>0</v>
      </c>
      <c r="M28" s="47">
        <f>IFERROR(__xludf.DUMMYFUNCTION("IF(M$6="""", """", IFERROR(SUM(FILTER('기록'!$O:$O, ('기록'!$D:$D=M$6) * (IF($A$2=""전체"", TRUE, (YEAR('기록'!$A:$A)&amp;"""")=$A$2)))), 0))"),0.0)</f>
        <v>0</v>
      </c>
      <c r="N28" s="47">
        <f>IFERROR(__xludf.DUMMYFUNCTION("IF(N$6="""", """", IFERROR(SUM(FILTER('기록'!$O:$O, ('기록'!$D:$D=N$6) * (IF($A$2=""전체"", TRUE, (YEAR('기록'!$A:$A)&amp;"""")=$A$2)))), 0))"),0.0)</f>
        <v>0</v>
      </c>
      <c r="O28" s="47">
        <f>IFERROR(__xludf.DUMMYFUNCTION("IF(O$6="""", """", IFERROR(SUM(FILTER('기록'!$O:$O, ('기록'!$D:$D=O$6) * (IF($A$2=""전체"", TRUE, (YEAR('기록'!$A:$A)&amp;"""")=$A$2)))), 0))"),0.0)</f>
        <v>0</v>
      </c>
      <c r="P28" s="47">
        <f>IFERROR(__xludf.DUMMYFUNCTION("IF(P$6="""", """", IFERROR(SUM(FILTER('기록'!$O:$O, ('기록'!$D:$D=P$6) * (IF($A$2=""전체"", TRUE, (YEAR('기록'!$A:$A)&amp;"""")=$A$2)))), 0))"),0.0)</f>
        <v>0</v>
      </c>
      <c r="Q28" s="47">
        <f>IFERROR(__xludf.DUMMYFUNCTION("IF(Q$6="""", """", IFERROR(SUM(FILTER('기록'!$O:$O, ('기록'!$D:$D=Q$6) * (IF($A$2=""전체"", TRUE, (YEAR('기록'!$A:$A)&amp;"""")=$A$2)))), 0))"),0.0)</f>
        <v>0</v>
      </c>
      <c r="R28" s="47">
        <f>IFERROR(__xludf.DUMMYFUNCTION("IF(R$6="""", """", IFERROR(SUM(FILTER('기록'!$O:$O, ('기록'!$D:$D=R$6) * (IF($A$2=""전체"", TRUE, (YEAR('기록'!$A:$A)&amp;"""")=$A$2)))), 0))"),0.0)</f>
        <v>0</v>
      </c>
      <c r="S28" s="47">
        <f>IFERROR(__xludf.DUMMYFUNCTION("IF(S$6="""", """", IFERROR(SUM(FILTER('기록'!$O:$O, ('기록'!$D:$D=S$6) * (IF($A$2=""전체"", TRUE, (YEAR('기록'!$A:$A)&amp;"""")=$A$2)))), 0))"),0.0)</f>
        <v>0</v>
      </c>
      <c r="T28" s="47">
        <f>IFERROR(__xludf.DUMMYFUNCTION("IF(T$6="""", """", IFERROR(SUM(FILTER('기록'!$O:$O, ('기록'!$D:$D=T$6) * (IF($A$2=""전체"", TRUE, (YEAR('기록'!$A:$A)&amp;"""")=$A$2)))), 0))"),0.0)</f>
        <v>0</v>
      </c>
      <c r="U28" s="47">
        <f>IFERROR(__xludf.DUMMYFUNCTION("IF(U$6="""", """", IFERROR(SUM(FILTER('기록'!$O:$O, ('기록'!$D:$D=U$6) * (IF($A$2=""전체"", TRUE, (YEAR('기록'!$A:$A)&amp;"""")=$A$2)))), 0))"),0.0)</f>
        <v>0</v>
      </c>
      <c r="V28" s="47">
        <f>IFERROR(__xludf.DUMMYFUNCTION("IF(V$6="""", """", IFERROR(SUM(FILTER('기록'!$O:$O, ('기록'!$D:$D=V$6) * (IF($A$2=""전체"", TRUE, (YEAR('기록'!$A:$A)&amp;"""")=$A$2)))), 0))"),0.0)</f>
        <v>0</v>
      </c>
      <c r="W28" s="47">
        <f>IFERROR(__xludf.DUMMYFUNCTION("IF(W$6="""", """", IFERROR(SUM(FILTER('기록'!$O:$O, ('기록'!$D:$D=W$6) * (IF($A$2=""전체"", TRUE, (YEAR('기록'!$A:$A)&amp;"""")=$A$2)))), 0))"),0.0)</f>
        <v>0</v>
      </c>
      <c r="X28" s="47">
        <f>IFERROR(__xludf.DUMMYFUNCTION("IF(X$6="""", """", IFERROR(SUM(FILTER('기록'!$O:$O, ('기록'!$D:$D=X$6) * (IF($A$2=""전체"", TRUE, (YEAR('기록'!$A:$A)&amp;"""")=$A$2)))), 0))"),0.0)</f>
        <v>0</v>
      </c>
      <c r="Y28" s="47">
        <f>IFERROR(__xludf.DUMMYFUNCTION("IF(Y$6="""", """", IFERROR(SUM(FILTER('기록'!$O:$O, ('기록'!$D:$D=Y$6) * (IF($A$2=""전체"", TRUE, (YEAR('기록'!$A:$A)&amp;"""")=$A$2)))), 0))"),0.0)</f>
        <v>0</v>
      </c>
      <c r="Z28" s="47">
        <f>IFERROR(__xludf.DUMMYFUNCTION("IF(Z$6="""", """", IFERROR(SUM(FILTER('기록'!$O:$O, ('기록'!$D:$D=Z$6) * (IF($A$2=""전체"", TRUE, (YEAR('기록'!$A:$A)&amp;"""")=$A$2)))), 0))"),0.0)</f>
        <v>0</v>
      </c>
      <c r="AA28" s="47">
        <f>IFERROR(__xludf.DUMMYFUNCTION("IF(AA$6="""", """", IFERROR(SUM(FILTER('기록'!$O:$O, ('기록'!$D:$D=AA$6) * (IF($A$2=""전체"", TRUE, (YEAR('기록'!$A:$A)&amp;"""")=$A$2)))), 0))"),0.0)</f>
        <v>0</v>
      </c>
      <c r="AB28" s="47">
        <f>IFERROR(__xludf.DUMMYFUNCTION("IF(AB$6="""", """", IFERROR(SUM(FILTER('기록'!$O:$O, ('기록'!$D:$D=AB$6) * (IF($A$2=""전체"", TRUE, (YEAR('기록'!$A:$A)&amp;"""")=$A$2)))), 0))"),0.0)</f>
        <v>0</v>
      </c>
      <c r="AC28" s="47">
        <f>IFERROR(__xludf.DUMMYFUNCTION("IF(AC$6="""", """", IFERROR(SUM(FILTER('기록'!$O:$O, ('기록'!$D:$D=AC$6) * (IF($A$2=""전체"", TRUE, (YEAR('기록'!$A:$A)&amp;"""")=$A$2)))), 0))"),0.0)</f>
        <v>0</v>
      </c>
      <c r="AD28" s="47">
        <f>IFERROR(__xludf.DUMMYFUNCTION("IF(AD$6="""", """", IFERROR(SUM(FILTER('기록'!$O:$O, ('기록'!$D:$D=AD$6) * (IF($A$2=""전체"", TRUE, (YEAR('기록'!$A:$A)&amp;"""")=$A$2)))), 0))"),0.0)</f>
        <v>0</v>
      </c>
      <c r="AE28" s="47">
        <f>IFERROR(__xludf.DUMMYFUNCTION("IF(AE$6="""", """", IFERROR(SUM(FILTER('기록'!$O:$O, ('기록'!$D:$D=AE$6) * (IF($A$2=""전체"", TRUE, (YEAR('기록'!$A:$A)&amp;"""")=$A$2)))), 0))"),0.0)</f>
        <v>0</v>
      </c>
      <c r="AF28" s="47">
        <f>IFERROR(__xludf.DUMMYFUNCTION("IF(AF$6="""", """", IFERROR(SUM(FILTER('기록'!$O:$O, ('기록'!$D:$D=AF$6) * (IF($A$2=""전체"", TRUE, (YEAR('기록'!$A:$A)&amp;"""")=$A$2)))), 0))"),0.0)</f>
        <v>0</v>
      </c>
      <c r="AG28" s="47">
        <f>IFERROR(__xludf.DUMMYFUNCTION("IF(AG$6="""", """", IFERROR(SUM(FILTER('기록'!$O:$O, ('기록'!$D:$D=AG$6) * (IF($A$2=""전체"", TRUE, (YEAR('기록'!$A:$A)&amp;"""")=$A$2)))), 0))"),0.0)</f>
        <v>0</v>
      </c>
      <c r="AH28" s="47">
        <f>IFERROR(__xludf.DUMMYFUNCTION("IF(AH$6="""", """", IFERROR(SUM(FILTER('기록'!$O:$O, ('기록'!$D:$D=AH$6) * (IF($A$2=""전체"", TRUE, (YEAR('기록'!$A:$A)&amp;"""")=$A$2)))), 0))"),0.0)</f>
        <v>0</v>
      </c>
      <c r="AI28" s="47">
        <f>IFERROR(__xludf.DUMMYFUNCTION("IF(AI$6="""", """", IFERROR(SUM(FILTER('기록'!$O:$O, ('기록'!$D:$D=AI$6) * (IF($A$2=""전체"", TRUE, (YEAR('기록'!$A:$A)&amp;"""")=$A$2)))), 0))"),0.0)</f>
        <v>0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</row>
    <row r="29" ht="37.5" customHeight="1">
      <c r="A29" s="15"/>
      <c r="B29" s="49" t="s">
        <v>82</v>
      </c>
      <c r="C29" s="47" t="str">
        <f>IFERROR(__xludf.DUMMYFUNCTION("IF(C$7=0, """", SPARKLINE(ARRAY_CONSTRAIN(FILTER('기록'!$G:$G, '기록'!$D:$D=C$6), 10, 1), {""charttype"",""column""; ""axis"", true; ""color"", ""#00A968""; ""negcolor"", ""#EA4335""}))"),"")</f>
        <v/>
      </c>
      <c r="D29" s="47" t="str">
        <f>IFERROR(__xludf.DUMMYFUNCTION("IF(D$7=0, """", SPARKLINE(ARRAY_CONSTRAIN(FILTER('기록'!$G:$G, '기록'!$D:$D=D$6), 10, 1), {""charttype"",""column""; ""axis"", true; ""color"", ""#00A968""; ""negcolor"", ""#EA4335""}))"),"")</f>
        <v/>
      </c>
      <c r="E29" s="47" t="str">
        <f>IFERROR(__xludf.DUMMYFUNCTION("IF(E$7=0, """", SPARKLINE(ARRAY_CONSTRAIN(FILTER('기록'!$G:$G, '기록'!$D:$D=E$6), 10, 1), {""charttype"",""column""; ""axis"", true; ""color"", ""#00A968""; ""negcolor"", ""#EA4335""}))"),"")</f>
        <v/>
      </c>
      <c r="F29" s="47" t="str">
        <f>IFERROR(__xludf.DUMMYFUNCTION("IF(F$7=0, """", SPARKLINE(ARRAY_CONSTRAIN(FILTER('기록'!$G:$G, '기록'!$D:$D=F$6), 10, 1), {""charttype"",""column""; ""axis"", true; ""color"", ""#00A968""; ""negcolor"", ""#EA4335""}))"),"")</f>
        <v/>
      </c>
      <c r="G29" s="47" t="str">
        <f>IFERROR(__xludf.DUMMYFUNCTION("IF(G$7=0, """", SPARKLINE(ARRAY_CONSTRAIN(FILTER('기록'!$G:$G, '기록'!$D:$D=G$6), 10, 1), {""charttype"",""column""; ""axis"", true; ""color"", ""#00A968""; ""negcolor"", ""#EA4335""}))"),"")</f>
        <v/>
      </c>
      <c r="H29" s="47" t="str">
        <f>IFERROR(__xludf.DUMMYFUNCTION("IF(H$7=0, """", SPARKLINE(ARRAY_CONSTRAIN(FILTER('기록'!$G:$G, '기록'!$D:$D=H$6), 10, 1), {""charttype"",""column""; ""axis"", true; ""color"", ""#00A968""; ""negcolor"", ""#EA4335""}))"),"")</f>
        <v/>
      </c>
      <c r="I29" s="47" t="str">
        <f>IFERROR(__xludf.DUMMYFUNCTION("IF(I$7=0, """", SPARKLINE(ARRAY_CONSTRAIN(FILTER('기록'!$G:$G, '기록'!$D:$D=I$6), 10, 1), {""charttype"",""column""; ""axis"", true; ""color"", ""#00A968""; ""negcolor"", ""#EA4335""}))"),"")</f>
        <v/>
      </c>
      <c r="J29" s="47" t="str">
        <f>IFERROR(__xludf.DUMMYFUNCTION("IF(J$7=0, """", SPARKLINE(ARRAY_CONSTRAIN(FILTER('기록'!$G:$G, '기록'!$D:$D=J$6), 10, 1), {""charttype"",""column""; ""axis"", true; ""color"", ""#00A968""; ""negcolor"", ""#EA4335""}))"),"")</f>
        <v/>
      </c>
      <c r="K29" s="47" t="str">
        <f>IFERROR(__xludf.DUMMYFUNCTION("IF(K$7=0, """", SPARKLINE(ARRAY_CONSTRAIN(FILTER('기록'!$G:$G, '기록'!$D:$D=K$6), 10, 1), {""charttype"",""column""; ""axis"", true; ""color"", ""#00A968""; ""negcolor"", ""#EA4335""}))"),"")</f>
        <v/>
      </c>
      <c r="L29" s="47" t="str">
        <f>IFERROR(__xludf.DUMMYFUNCTION("IF(L$7=0, """", SPARKLINE(ARRAY_CONSTRAIN(FILTER('기록'!$G:$G, '기록'!$D:$D=L$6), 10, 1), {""charttype"",""column""; ""axis"", true; ""color"", ""#00A968""; ""negcolor"", ""#EA4335""}))"),"")</f>
        <v/>
      </c>
      <c r="M29" s="47" t="str">
        <f>IFERROR(__xludf.DUMMYFUNCTION("IF(M$7=0, """", SPARKLINE(ARRAY_CONSTRAIN(FILTER('기록'!$G:$G, '기록'!$D:$D=M$6), 10, 1), {""charttype"",""column""; ""axis"", true; ""color"", ""#00A968""; ""negcolor"", ""#EA4335""}))"),"")</f>
        <v/>
      </c>
      <c r="N29" s="47" t="str">
        <f>IFERROR(__xludf.DUMMYFUNCTION("IF(N$7=0, """", SPARKLINE(ARRAY_CONSTRAIN(FILTER('기록'!$G:$G, '기록'!$D:$D=N$6), 10, 1), {""charttype"",""column""; ""axis"", true; ""color"", ""#00A968""; ""negcolor"", ""#EA4335""}))"),"")</f>
        <v/>
      </c>
      <c r="O29" s="47" t="str">
        <f>IFERROR(__xludf.DUMMYFUNCTION("IF(O$7=0, """", SPARKLINE(ARRAY_CONSTRAIN(FILTER('기록'!$G:$G, '기록'!$D:$D=O$6), 10, 1), {""charttype"",""column""; ""axis"", true; ""color"", ""#00A968""; ""negcolor"", ""#EA4335""}))"),"")</f>
        <v/>
      </c>
      <c r="P29" s="47" t="str">
        <f>IFERROR(__xludf.DUMMYFUNCTION("IF(P$7=0, """", SPARKLINE(ARRAY_CONSTRAIN(FILTER('기록'!$G:$G, '기록'!$D:$D=P$6), 10, 1), {""charttype"",""column""; ""axis"", true; ""color"", ""#00A968""; ""negcolor"", ""#EA4335""}))"),"")</f>
        <v/>
      </c>
      <c r="Q29" s="47" t="str">
        <f>IFERROR(__xludf.DUMMYFUNCTION("IF(Q$7=0, """", SPARKLINE(ARRAY_CONSTRAIN(FILTER('기록'!$G:$G, '기록'!$D:$D=Q$6), 10, 1), {""charttype"",""column""; ""axis"", true; ""color"", ""#00A968""; ""negcolor"", ""#EA4335""}))"),"")</f>
        <v/>
      </c>
      <c r="R29" s="47" t="str">
        <f>IFERROR(__xludf.DUMMYFUNCTION("IF(R$7=0, """", SPARKLINE(ARRAY_CONSTRAIN(FILTER('기록'!$G:$G, '기록'!$D:$D=R$6), 10, 1), {""charttype"",""column""; ""axis"", true; ""color"", ""#00A968""; ""negcolor"", ""#EA4335""}))"),"")</f>
        <v/>
      </c>
      <c r="S29" s="47" t="str">
        <f>IFERROR(__xludf.DUMMYFUNCTION("IF(S$7=0, """", SPARKLINE(ARRAY_CONSTRAIN(FILTER('기록'!$G:$G, '기록'!$D:$D=S$6), 10, 1), {""charttype"",""column""; ""axis"", true; ""color"", ""#00A968""; ""negcolor"", ""#EA4335""}))"),"")</f>
        <v/>
      </c>
      <c r="T29" s="47" t="str">
        <f>IFERROR(__xludf.DUMMYFUNCTION("IF(T$7=0, """", SPARKLINE(ARRAY_CONSTRAIN(FILTER('기록'!$G:$G, '기록'!$D:$D=T$6), 10, 1), {""charttype"",""column""; ""axis"", true; ""color"", ""#00A968""; ""negcolor"", ""#EA4335""}))"),"")</f>
        <v/>
      </c>
      <c r="U29" s="47" t="str">
        <f>IFERROR(__xludf.DUMMYFUNCTION("IF(U$7=0, """", SPARKLINE(ARRAY_CONSTRAIN(FILTER('기록'!$G:$G, '기록'!$D:$D=U$6), 10, 1), {""charttype"",""column""; ""axis"", true; ""color"", ""#00A968""; ""negcolor"", ""#EA4335""}))"),"")</f>
        <v/>
      </c>
      <c r="V29" s="47" t="str">
        <f>IFERROR(__xludf.DUMMYFUNCTION("IF(V$7=0, """", SPARKLINE(ARRAY_CONSTRAIN(FILTER('기록'!$G:$G, '기록'!$D:$D=V$6), 10, 1), {""charttype"",""column""; ""axis"", true; ""color"", ""#00A968""; ""negcolor"", ""#EA4335""}))"),"")</f>
        <v/>
      </c>
      <c r="W29" s="47" t="str">
        <f>IFERROR(__xludf.DUMMYFUNCTION("IF(W$7=0, """", SPARKLINE(ARRAY_CONSTRAIN(FILTER('기록'!$G:$G, '기록'!$D:$D=W$6), 10, 1), {""charttype"",""column""; ""axis"", true; ""color"", ""#00A968""; ""negcolor"", ""#EA4335""}))"),"")</f>
        <v/>
      </c>
      <c r="X29" s="47" t="str">
        <f>IFERROR(__xludf.DUMMYFUNCTION("IF(X$7=0, """", SPARKLINE(ARRAY_CONSTRAIN(FILTER('기록'!$G:$G, '기록'!$D:$D=X$6), 10, 1), {""charttype"",""column""; ""axis"", true; ""color"", ""#00A968""; ""negcolor"", ""#EA4335""}))"),"")</f>
        <v/>
      </c>
      <c r="Y29" s="47" t="str">
        <f>IFERROR(__xludf.DUMMYFUNCTION("IF(Y$7=0, """", SPARKLINE(ARRAY_CONSTRAIN(FILTER('기록'!$G:$G, '기록'!$D:$D=Y$6), 10, 1), {""charttype"",""column""; ""axis"", true; ""color"", ""#00A968""; ""negcolor"", ""#EA4335""}))"),"")</f>
        <v/>
      </c>
      <c r="Z29" s="47" t="str">
        <f>IFERROR(__xludf.DUMMYFUNCTION("IF(Z$7=0, """", SPARKLINE(ARRAY_CONSTRAIN(FILTER('기록'!$G:$G, '기록'!$D:$D=Z$6), 10, 1), {""charttype"",""column""; ""axis"", true; ""color"", ""#00A968""; ""negcolor"", ""#EA4335""}))"),"")</f>
        <v/>
      </c>
      <c r="AA29" s="47" t="str">
        <f>IFERROR(__xludf.DUMMYFUNCTION("IF(AA$7=0, """", SPARKLINE(ARRAY_CONSTRAIN(FILTER('기록'!$G:$G, '기록'!$D:$D=AA$6), 10, 1), {""charttype"",""column""; ""axis"", true; ""color"", ""#00A968""; ""negcolor"", ""#EA4335""}))"),"")</f>
        <v/>
      </c>
      <c r="AB29" s="47" t="str">
        <f>IFERROR(__xludf.DUMMYFUNCTION("IF(AB$7=0, """", SPARKLINE(ARRAY_CONSTRAIN(FILTER('기록'!$G:$G, '기록'!$D:$D=AB$6), 10, 1), {""charttype"",""column""; ""axis"", true; ""color"", ""#00A968""; ""negcolor"", ""#EA4335""}))"),"")</f>
        <v/>
      </c>
      <c r="AC29" s="47" t="str">
        <f>IFERROR(__xludf.DUMMYFUNCTION("IF(AC$7=0, """", SPARKLINE(ARRAY_CONSTRAIN(FILTER('기록'!$G:$G, '기록'!$D:$D=AC$6), 10, 1), {""charttype"",""column""; ""axis"", true; ""color"", ""#00A968""; ""negcolor"", ""#EA4335""}))"),"")</f>
        <v/>
      </c>
      <c r="AD29" s="47" t="str">
        <f>IFERROR(__xludf.DUMMYFUNCTION("IF(AD$7=0, """", SPARKLINE(ARRAY_CONSTRAIN(FILTER('기록'!$G:$G, '기록'!$D:$D=AD$6), 10, 1), {""charttype"",""column""; ""axis"", true; ""color"", ""#00A968""; ""negcolor"", ""#EA4335""}))"),"")</f>
        <v/>
      </c>
      <c r="AE29" s="47" t="str">
        <f>IFERROR(__xludf.DUMMYFUNCTION("IF(AE$7=0, """", SPARKLINE(ARRAY_CONSTRAIN(FILTER('기록'!$G:$G, '기록'!$D:$D=AE$6), 10, 1), {""charttype"",""column""; ""axis"", true; ""color"", ""#00A968""; ""negcolor"", ""#EA4335""}))"),"")</f>
        <v/>
      </c>
      <c r="AF29" s="47" t="str">
        <f>IFERROR(__xludf.DUMMYFUNCTION("IF(AF$7=0, """", SPARKLINE(ARRAY_CONSTRAIN(FILTER('기록'!$G:$G, '기록'!$D:$D=AF$6), 10, 1), {""charttype"",""column""; ""axis"", true; ""color"", ""#00A968""; ""negcolor"", ""#EA4335""}))"),"")</f>
        <v/>
      </c>
      <c r="AG29" s="47" t="str">
        <f>IFERROR(__xludf.DUMMYFUNCTION("IF(AG$7=0, """", SPARKLINE(ARRAY_CONSTRAIN(FILTER('기록'!$G:$G, '기록'!$D:$D=AG$6), 10, 1), {""charttype"",""column""; ""axis"", true; ""color"", ""#00A968""; ""negcolor"", ""#EA4335""}))"),"")</f>
        <v/>
      </c>
      <c r="AH29" s="47" t="str">
        <f>IFERROR(__xludf.DUMMYFUNCTION("IF(AH$7=0, """", SPARKLINE(ARRAY_CONSTRAIN(FILTER('기록'!$G:$G, '기록'!$D:$D=AH$6), 10, 1), {""charttype"",""column""; ""axis"", true; ""color"", ""#00A968""; ""negcolor"", ""#EA4335""}))"),"")</f>
        <v/>
      </c>
      <c r="AI29" s="47" t="str">
        <f>IFERROR(__xludf.DUMMYFUNCTION("IF(AI$7=0, """", SPARKLINE(ARRAY_CONSTRAIN(FILTER('기록'!$G:$G, '기록'!$D:$D=AI$6), 10, 1), {""charttype"",""column""; ""axis"", true; ""color"", ""#00A968""; ""negcolor"", ""#EA4335""}))"),"")</f>
        <v/>
      </c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</row>
    <row r="30">
      <c r="A30" s="15"/>
      <c r="B30" s="48" t="s">
        <v>83</v>
      </c>
      <c r="C30" s="39">
        <f>IFERROR(__xludf.DUMMYFUNCTION("IF(C$6="""", """", IFERROR(AVERAGE(FILTER('기록'!$F:$F, ('기록'!$D:$D=C$6) * ('기록'!$C:$C=""동"") * (IF($A$2=""전체"", TRUE, (YEAR('기록'!$A:$A)&amp;"""")=$A$2)))), ""-""))"),2.6)</f>
        <v>2.6</v>
      </c>
      <c r="D30" s="39">
        <f>IFERROR(__xludf.DUMMYFUNCTION("IF(D$6="""", """", IFERROR(AVERAGE(FILTER('기록'!$F:$F, ('기록'!$D:$D=D$6) * ('기록'!$C:$C=""동"") * (IF($A$2=""전체"", TRUE, (YEAR('기록'!$A:$A)&amp;"""")=$A$2)))), ""-""))"),1.7272727272727273)</f>
        <v>1.727272727</v>
      </c>
      <c r="E30" s="39">
        <f>IFERROR(__xludf.DUMMYFUNCTION("IF(E$6="""", """", IFERROR(AVERAGE(FILTER('기록'!$F:$F, ('기록'!$D:$D=E$6) * ('기록'!$C:$C=""동"") * (IF($A$2=""전체"", TRUE, (YEAR('기록'!$A:$A)&amp;"""")=$A$2)))), ""-""))"),4.0)</f>
        <v>4</v>
      </c>
      <c r="F30" s="39">
        <f>IFERROR(__xludf.DUMMYFUNCTION("IF(F$6="""", """", IFERROR(AVERAGE(FILTER('기록'!$F:$F, ('기록'!$D:$D=F$6) * ('기록'!$C:$C=""동"") * (IF($A$2=""전체"", TRUE, (YEAR('기록'!$A:$A)&amp;"""")=$A$2)))), ""-""))"),2.6363636363636362)</f>
        <v>2.636363636</v>
      </c>
      <c r="G30" s="39">
        <f>IFERROR(__xludf.DUMMYFUNCTION("IF(G$6="""", """", IFERROR(AVERAGE(FILTER('기록'!$F:$F, ('기록'!$D:$D=G$6) * ('기록'!$C:$C=""동"") * (IF($A$2=""전체"", TRUE, (YEAR('기록'!$A:$A)&amp;"""")=$A$2)))), ""-""))"),1.6)</f>
        <v>1.6</v>
      </c>
      <c r="H30" s="39">
        <f>IFERROR(__xludf.DUMMYFUNCTION("IF(H$6="""", """", IFERROR(AVERAGE(FILTER('기록'!$F:$F, ('기록'!$D:$D=H$6) * ('기록'!$C:$C=""동"") * (IF($A$2=""전체"", TRUE, (YEAR('기록'!$A:$A)&amp;"""")=$A$2)))), ""-""))"),2.0)</f>
        <v>2</v>
      </c>
      <c r="I30" s="39">
        <f>IFERROR(__xludf.DUMMYFUNCTION("IF(I$6="""", """", IFERROR(AVERAGE(FILTER('기록'!$F:$F, ('기록'!$D:$D=I$6) * ('기록'!$C:$C=""동"") * (IF($A$2=""전체"", TRUE, (YEAR('기록'!$A:$A)&amp;"""")=$A$2)))), ""-""))"),2.0)</f>
        <v>2</v>
      </c>
      <c r="J30" s="39" t="str">
        <f>IFERROR(__xludf.DUMMYFUNCTION("IF(J$6="""", """", IFERROR(AVERAGE(FILTER('기록'!$F:$F, ('기록'!$D:$D=J$6) * ('기록'!$C:$C=""동"") * (IF($A$2=""전체"", TRUE, (YEAR('기록'!$A:$A)&amp;"""")=$A$2)))), ""-""))"),"-")</f>
        <v>-</v>
      </c>
      <c r="K30" s="39">
        <f>IFERROR(__xludf.DUMMYFUNCTION("IF(K$6="""", """", IFERROR(AVERAGE(FILTER('기록'!$F:$F, ('기록'!$D:$D=K$6) * ('기록'!$C:$C=""동"") * (IF($A$2=""전체"", TRUE, (YEAR('기록'!$A:$A)&amp;"""")=$A$2)))), ""-""))"),3.0)</f>
        <v>3</v>
      </c>
      <c r="L30" s="39">
        <f>IFERROR(__xludf.DUMMYFUNCTION("IF(L$6="""", """", IFERROR(AVERAGE(FILTER('기록'!$F:$F, ('기록'!$D:$D=L$6) * ('기록'!$C:$C=""동"") * (IF($A$2=""전체"", TRUE, (YEAR('기록'!$A:$A)&amp;"""")=$A$2)))), ""-""))"),1.6)</f>
        <v>1.6</v>
      </c>
      <c r="M30" s="39">
        <f>IFERROR(__xludf.DUMMYFUNCTION("IF(M$6="""", """", IFERROR(AVERAGE(FILTER('기록'!$F:$F, ('기록'!$D:$D=M$6) * ('기록'!$C:$C=""동"") * (IF($A$2=""전체"", TRUE, (YEAR('기록'!$A:$A)&amp;"""")=$A$2)))), ""-""))"),2.8333333333333335)</f>
        <v>2.833333333</v>
      </c>
      <c r="N30" s="39" t="str">
        <f>IFERROR(__xludf.DUMMYFUNCTION("IF(N$6="""", """", IFERROR(AVERAGE(FILTER('기록'!$F:$F, ('기록'!$D:$D=N$6) * ('기록'!$C:$C=""동"") * (IF($A$2=""전체"", TRUE, (YEAR('기록'!$A:$A)&amp;"""")=$A$2)))), ""-""))"),"-")</f>
        <v>-</v>
      </c>
      <c r="O30" s="39">
        <f>IFERROR(__xludf.DUMMYFUNCTION("IF(O$6="""", """", IFERROR(AVERAGE(FILTER('기록'!$F:$F, ('기록'!$D:$D=O$6) * ('기록'!$C:$C=""동"") * (IF($A$2=""전체"", TRUE, (YEAR('기록'!$A:$A)&amp;"""")=$A$2)))), ""-""))"),4.0)</f>
        <v>4</v>
      </c>
      <c r="P30" s="39" t="str">
        <f>IFERROR(__xludf.DUMMYFUNCTION("IF(P$6="""", """", IFERROR(AVERAGE(FILTER('기록'!$F:$F, ('기록'!$D:$D=P$6) * ('기록'!$C:$C=""동"") * (IF($A$2=""전체"", TRUE, (YEAR('기록'!$A:$A)&amp;"""")=$A$2)))), ""-""))"),"-")</f>
        <v>-</v>
      </c>
      <c r="Q30" s="39" t="str">
        <f>IFERROR(__xludf.DUMMYFUNCTION("IF(Q$6="""", """", IFERROR(AVERAGE(FILTER('기록'!$F:$F, ('기록'!$D:$D=Q$6) * ('기록'!$C:$C=""동"") * (IF($A$2=""전체"", TRUE, (YEAR('기록'!$A:$A)&amp;"""")=$A$2)))), ""-""))"),"-")</f>
        <v>-</v>
      </c>
      <c r="R30" s="39" t="str">
        <f>IFERROR(__xludf.DUMMYFUNCTION("IF(R$6="""", """", IFERROR(AVERAGE(FILTER('기록'!$F:$F, ('기록'!$D:$D=R$6) * ('기록'!$C:$C=""동"") * (IF($A$2=""전체"", TRUE, (YEAR('기록'!$A:$A)&amp;"""")=$A$2)))), ""-""))"),"-")</f>
        <v>-</v>
      </c>
      <c r="S30" s="39" t="str">
        <f>IFERROR(__xludf.DUMMYFUNCTION("IF(S$6="""", """", IFERROR(AVERAGE(FILTER('기록'!$F:$F, ('기록'!$D:$D=S$6) * ('기록'!$C:$C=""동"") * (IF($A$2=""전체"", TRUE, (YEAR('기록'!$A:$A)&amp;"""")=$A$2)))), ""-""))"),"-")</f>
        <v>-</v>
      </c>
      <c r="T30" s="39" t="str">
        <f>IFERROR(__xludf.DUMMYFUNCTION("IF(T$6="""", """", IFERROR(AVERAGE(FILTER('기록'!$F:$F, ('기록'!$D:$D=T$6) * ('기록'!$C:$C=""동"") * (IF($A$2=""전체"", TRUE, (YEAR('기록'!$A:$A)&amp;"""")=$A$2)))), ""-""))"),"-")</f>
        <v>-</v>
      </c>
      <c r="U30" s="39" t="str">
        <f>IFERROR(__xludf.DUMMYFUNCTION("IF(U$6="""", """", IFERROR(AVERAGE(FILTER('기록'!$F:$F, ('기록'!$D:$D=U$6) * ('기록'!$C:$C=""동"") * (IF($A$2=""전체"", TRUE, (YEAR('기록'!$A:$A)&amp;"""")=$A$2)))), ""-""))"),"-")</f>
        <v>-</v>
      </c>
      <c r="V30" s="39">
        <f>IFERROR(__xludf.DUMMYFUNCTION("IF(V$6="""", """", IFERROR(AVERAGE(FILTER('기록'!$F:$F, ('기록'!$D:$D=V$6) * ('기록'!$C:$C=""동"") * (IF($A$2=""전체"", TRUE, (YEAR('기록'!$A:$A)&amp;"""")=$A$2)))), ""-""))"),3.0)</f>
        <v>3</v>
      </c>
      <c r="W30" s="39" t="str">
        <f>IFERROR(__xludf.DUMMYFUNCTION("IF(W$6="""", """", IFERROR(AVERAGE(FILTER('기록'!$F:$F, ('기록'!$D:$D=W$6) * ('기록'!$C:$C=""동"") * (IF($A$2=""전체"", TRUE, (YEAR('기록'!$A:$A)&amp;"""")=$A$2)))), ""-""))"),"-")</f>
        <v>-</v>
      </c>
      <c r="X30" s="39" t="str">
        <f>IFERROR(__xludf.DUMMYFUNCTION("IF(X$6="""", """", IFERROR(AVERAGE(FILTER('기록'!$F:$F, ('기록'!$D:$D=X$6) * ('기록'!$C:$C=""동"") * (IF($A$2=""전체"", TRUE, (YEAR('기록'!$A:$A)&amp;"""")=$A$2)))), ""-""))"),"-")</f>
        <v>-</v>
      </c>
      <c r="Y30" s="39" t="str">
        <f>IFERROR(__xludf.DUMMYFUNCTION("IF(Y$6="""", """", IFERROR(AVERAGE(FILTER('기록'!$F:$F, ('기록'!$D:$D=Y$6) * ('기록'!$C:$C=""동"") * (IF($A$2=""전체"", TRUE, (YEAR('기록'!$A:$A)&amp;"""")=$A$2)))), ""-""))"),"-")</f>
        <v>-</v>
      </c>
      <c r="Z30" s="39" t="str">
        <f>IFERROR(__xludf.DUMMYFUNCTION("IF(Z$6="""", """", IFERROR(AVERAGE(FILTER('기록'!$F:$F, ('기록'!$D:$D=Z$6) * ('기록'!$C:$C=""동"") * (IF($A$2=""전체"", TRUE, (YEAR('기록'!$A:$A)&amp;"""")=$A$2)))), ""-""))"),"-")</f>
        <v>-</v>
      </c>
      <c r="AA30" s="39" t="str">
        <f>IFERROR(__xludf.DUMMYFUNCTION("IF(AA$6="""", """", IFERROR(AVERAGE(FILTER('기록'!$F:$F, ('기록'!$D:$D=AA$6) * ('기록'!$C:$C=""동"") * (IF($A$2=""전체"", TRUE, (YEAR('기록'!$A:$A)&amp;"""")=$A$2)))), ""-""))"),"-")</f>
        <v>-</v>
      </c>
      <c r="AB30" s="39" t="str">
        <f>IFERROR(__xludf.DUMMYFUNCTION("IF(AB$6="""", """", IFERROR(AVERAGE(FILTER('기록'!$F:$F, ('기록'!$D:$D=AB$6) * ('기록'!$C:$C=""동"") * (IF($A$2=""전체"", TRUE, (YEAR('기록'!$A:$A)&amp;"""")=$A$2)))), ""-""))"),"-")</f>
        <v>-</v>
      </c>
      <c r="AC30" s="39">
        <f>IFERROR(__xludf.DUMMYFUNCTION("IF(AC$6="""", """", IFERROR(AVERAGE(FILTER('기록'!$F:$F, ('기록'!$D:$D=AC$6) * ('기록'!$C:$C=""동"") * (IF($A$2=""전체"", TRUE, (YEAR('기록'!$A:$A)&amp;"""")=$A$2)))), ""-""))"),2.0)</f>
        <v>2</v>
      </c>
      <c r="AD30" s="39" t="str">
        <f>IFERROR(__xludf.DUMMYFUNCTION("IF(AD$6="""", """", IFERROR(AVERAGE(FILTER('기록'!$F:$F, ('기록'!$D:$D=AD$6) * ('기록'!$C:$C=""동"") * (IF($A$2=""전체"", TRUE, (YEAR('기록'!$A:$A)&amp;"""")=$A$2)))), ""-""))"),"-")</f>
        <v>-</v>
      </c>
      <c r="AE30" s="39" t="str">
        <f>IFERROR(__xludf.DUMMYFUNCTION("IF(AE$6="""", """", IFERROR(AVERAGE(FILTER('기록'!$F:$F, ('기록'!$D:$D=AE$6) * ('기록'!$C:$C=""동"") * (IF($A$2=""전체"", TRUE, (YEAR('기록'!$A:$A)&amp;"""")=$A$2)))), ""-""))"),"-")</f>
        <v>-</v>
      </c>
      <c r="AF30" s="39" t="str">
        <f>IFERROR(__xludf.DUMMYFUNCTION("IF(AF$6="""", """", IFERROR(AVERAGE(FILTER('기록'!$F:$F, ('기록'!$D:$D=AF$6) * ('기록'!$C:$C=""동"") * (IF($A$2=""전체"", TRUE, (YEAR('기록'!$A:$A)&amp;"""")=$A$2)))), ""-""))"),"-")</f>
        <v>-</v>
      </c>
      <c r="AG30" s="39">
        <f>IFERROR(__xludf.DUMMYFUNCTION("IF(AG$6="""", """", IFERROR(AVERAGE(FILTER('기록'!$F:$F, ('기록'!$D:$D=AG$6) * ('기록'!$C:$C=""동"") * (IF($A$2=""전체"", TRUE, (YEAR('기록'!$A:$A)&amp;"""")=$A$2)))), ""-""))"),3.0)</f>
        <v>3</v>
      </c>
      <c r="AH30" s="39">
        <f>IFERROR(__xludf.DUMMYFUNCTION("IF(AH$6="""", """", IFERROR(AVERAGE(FILTER('기록'!$F:$F, ('기록'!$D:$D=AH$6) * ('기록'!$C:$C=""동"") * (IF($A$2=""전체"", TRUE, (YEAR('기록'!$A:$A)&amp;"""")=$A$2)))), ""-""))"),3.0)</f>
        <v>3</v>
      </c>
      <c r="AI30" s="39">
        <f>IFERROR(__xludf.DUMMYFUNCTION("IF(AI$6="""", """", IFERROR(AVERAGE(FILTER('기록'!$F:$F, ('기록'!$D:$D=AI$6) * ('기록'!$C:$C=""동"") * (IF($A$2=""전체"", TRUE, (YEAR('기록'!$A:$A)&amp;"""")=$A$2)))), ""-""))"),3.5)</f>
        <v>3.5</v>
      </c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</row>
    <row r="31">
      <c r="A31" s="15"/>
      <c r="B31" s="48" t="s">
        <v>84</v>
      </c>
      <c r="C31" s="39">
        <f>IFERROR(__xludf.DUMMYFUNCTION("IF(C$6="""", """", IFERROR(AVERAGE(FILTER('기록'!$F:$F, ('기록'!$D:$D=C$6) * ('기록'!$C:$C=""남"") * (IF($A$2=""전체"", TRUE, (YEAR('기록'!$A:$A)&amp;"""")=$A$2)))), ""-""))"),1.3333333333333333)</f>
        <v>1.333333333</v>
      </c>
      <c r="D31" s="39">
        <f>IFERROR(__xludf.DUMMYFUNCTION("IF(D$6="""", """", IFERROR(AVERAGE(FILTER('기록'!$F:$F, ('기록'!$D:$D=D$6) * ('기록'!$C:$C=""남"") * (IF($A$2=""전체"", TRUE, (YEAR('기록'!$A:$A)&amp;"""")=$A$2)))), ""-""))"),2.1666666666666665)</f>
        <v>2.166666667</v>
      </c>
      <c r="E31" s="39">
        <f>IFERROR(__xludf.DUMMYFUNCTION("IF(E$6="""", """", IFERROR(AVERAGE(FILTER('기록'!$F:$F, ('기록'!$D:$D=E$6) * ('기록'!$C:$C=""남"") * (IF($A$2=""전체"", TRUE, (YEAR('기록'!$A:$A)&amp;"""")=$A$2)))), ""-""))"),2.6666666666666665)</f>
        <v>2.666666667</v>
      </c>
      <c r="F31" s="39">
        <f>IFERROR(__xludf.DUMMYFUNCTION("IF(F$6="""", """", IFERROR(AVERAGE(FILTER('기록'!$F:$F, ('기록'!$D:$D=F$6) * ('기록'!$C:$C=""남"") * (IF($A$2=""전체"", TRUE, (YEAR('기록'!$A:$A)&amp;"""")=$A$2)))), ""-""))"),2.3333333333333335)</f>
        <v>2.333333333</v>
      </c>
      <c r="G31" s="39">
        <f>IFERROR(__xludf.DUMMYFUNCTION("IF(G$6="""", """", IFERROR(AVERAGE(FILTER('기록'!$F:$F, ('기록'!$D:$D=G$6) * ('기록'!$C:$C=""남"") * (IF($A$2=""전체"", TRUE, (YEAR('기록'!$A:$A)&amp;"""")=$A$2)))), ""-""))"),3.2)</f>
        <v>3.2</v>
      </c>
      <c r="H31" s="39">
        <f>IFERROR(__xludf.DUMMYFUNCTION("IF(H$6="""", """", IFERROR(AVERAGE(FILTER('기록'!$F:$F, ('기록'!$D:$D=H$6) * ('기록'!$C:$C=""남"") * (IF($A$2=""전체"", TRUE, (YEAR('기록'!$A:$A)&amp;"""")=$A$2)))), ""-""))"),3.6666666666666665)</f>
        <v>3.666666667</v>
      </c>
      <c r="I31" s="39">
        <f>IFERROR(__xludf.DUMMYFUNCTION("IF(I$6="""", """", IFERROR(AVERAGE(FILTER('기록'!$F:$F, ('기록'!$D:$D=I$6) * ('기록'!$C:$C=""남"") * (IF($A$2=""전체"", TRUE, (YEAR('기록'!$A:$A)&amp;"""")=$A$2)))), ""-""))"),3.0)</f>
        <v>3</v>
      </c>
      <c r="J31" s="39" t="str">
        <f>IFERROR(__xludf.DUMMYFUNCTION("IF(J$6="""", """", IFERROR(AVERAGE(FILTER('기록'!$F:$F, ('기록'!$D:$D=J$6) * ('기록'!$C:$C=""남"") * (IF($A$2=""전체"", TRUE, (YEAR('기록'!$A:$A)&amp;"""")=$A$2)))), ""-""))"),"-")</f>
        <v>-</v>
      </c>
      <c r="K31" s="39">
        <f>IFERROR(__xludf.DUMMYFUNCTION("IF(K$6="""", """", IFERROR(AVERAGE(FILTER('기록'!$F:$F, ('기록'!$D:$D=K$6) * ('기록'!$C:$C=""남"") * (IF($A$2=""전체"", TRUE, (YEAR('기록'!$A:$A)&amp;"""")=$A$2)))), ""-""))"),1.0)</f>
        <v>1</v>
      </c>
      <c r="L31" s="39">
        <f>IFERROR(__xludf.DUMMYFUNCTION("IF(L$6="""", """", IFERROR(AVERAGE(FILTER('기록'!$F:$F, ('기록'!$D:$D=L$6) * ('기록'!$C:$C=""남"") * (IF($A$2=""전체"", TRUE, (YEAR('기록'!$A:$A)&amp;"""")=$A$2)))), ""-""))"),2.75)</f>
        <v>2.75</v>
      </c>
      <c r="M31" s="39">
        <f>IFERROR(__xludf.DUMMYFUNCTION("IF(M$6="""", """", IFERROR(AVERAGE(FILTER('기록'!$F:$F, ('기록'!$D:$D=M$6) * ('기록'!$C:$C=""남"") * (IF($A$2=""전체"", TRUE, (YEAR('기록'!$A:$A)&amp;"""")=$A$2)))), ""-""))"),2.066666666666667)</f>
        <v>2.066666667</v>
      </c>
      <c r="N31" s="39" t="str">
        <f>IFERROR(__xludf.DUMMYFUNCTION("IF(N$6="""", """", IFERROR(AVERAGE(FILTER('기록'!$F:$F, ('기록'!$D:$D=N$6) * ('기록'!$C:$C=""남"") * (IF($A$2=""전체"", TRUE, (YEAR('기록'!$A:$A)&amp;"""")=$A$2)))), ""-""))"),"-")</f>
        <v>-</v>
      </c>
      <c r="O31" s="39">
        <f>IFERROR(__xludf.DUMMYFUNCTION("IF(O$6="""", """", IFERROR(AVERAGE(FILTER('기록'!$F:$F, ('기록'!$D:$D=O$6) * ('기록'!$C:$C=""남"") * (IF($A$2=""전체"", TRUE, (YEAR('기록'!$A:$A)&amp;"""")=$A$2)))), ""-""))"),3.0)</f>
        <v>3</v>
      </c>
      <c r="P31" s="39" t="str">
        <f>IFERROR(__xludf.DUMMYFUNCTION("IF(P$6="""", """", IFERROR(AVERAGE(FILTER('기록'!$F:$F, ('기록'!$D:$D=P$6) * ('기록'!$C:$C=""남"") * (IF($A$2=""전체"", TRUE, (YEAR('기록'!$A:$A)&amp;"""")=$A$2)))), ""-""))"),"-")</f>
        <v>-</v>
      </c>
      <c r="Q31" s="39" t="str">
        <f>IFERROR(__xludf.DUMMYFUNCTION("IF(Q$6="""", """", IFERROR(AVERAGE(FILTER('기록'!$F:$F, ('기록'!$D:$D=Q$6) * ('기록'!$C:$C=""남"") * (IF($A$2=""전체"", TRUE, (YEAR('기록'!$A:$A)&amp;"""")=$A$2)))), ""-""))"),"-")</f>
        <v>-</v>
      </c>
      <c r="R31" s="39" t="str">
        <f>IFERROR(__xludf.DUMMYFUNCTION("IF(R$6="""", """", IFERROR(AVERAGE(FILTER('기록'!$F:$F, ('기록'!$D:$D=R$6) * ('기록'!$C:$C=""남"") * (IF($A$2=""전체"", TRUE, (YEAR('기록'!$A:$A)&amp;"""")=$A$2)))), ""-""))"),"-")</f>
        <v>-</v>
      </c>
      <c r="S31" s="39" t="str">
        <f>IFERROR(__xludf.DUMMYFUNCTION("IF(S$6="""", """", IFERROR(AVERAGE(FILTER('기록'!$F:$F, ('기록'!$D:$D=S$6) * ('기록'!$C:$C=""남"") * (IF($A$2=""전체"", TRUE, (YEAR('기록'!$A:$A)&amp;"""")=$A$2)))), ""-""))"),"-")</f>
        <v>-</v>
      </c>
      <c r="T31" s="39" t="str">
        <f>IFERROR(__xludf.DUMMYFUNCTION("IF(T$6="""", """", IFERROR(AVERAGE(FILTER('기록'!$F:$F, ('기록'!$D:$D=T$6) * ('기록'!$C:$C=""남"") * (IF($A$2=""전체"", TRUE, (YEAR('기록'!$A:$A)&amp;"""")=$A$2)))), ""-""))"),"-")</f>
        <v>-</v>
      </c>
      <c r="U31" s="39" t="str">
        <f>IFERROR(__xludf.DUMMYFUNCTION("IF(U$6="""", """", IFERROR(AVERAGE(FILTER('기록'!$F:$F, ('기록'!$D:$D=U$6) * ('기록'!$C:$C=""남"") * (IF($A$2=""전체"", TRUE, (YEAR('기록'!$A:$A)&amp;"""")=$A$2)))), ""-""))"),"-")</f>
        <v>-</v>
      </c>
      <c r="V31" s="39">
        <f>IFERROR(__xludf.DUMMYFUNCTION("IF(V$6="""", """", IFERROR(AVERAGE(FILTER('기록'!$F:$F, ('기록'!$D:$D=V$6) * ('기록'!$C:$C=""남"") * (IF($A$2=""전체"", TRUE, (YEAR('기록'!$A:$A)&amp;"""")=$A$2)))), ""-""))"),1.6666666666666667)</f>
        <v>1.666666667</v>
      </c>
      <c r="W31" s="39" t="str">
        <f>IFERROR(__xludf.DUMMYFUNCTION("IF(W$6="""", """", IFERROR(AVERAGE(FILTER('기록'!$F:$F, ('기록'!$D:$D=W$6) * ('기록'!$C:$C=""남"") * (IF($A$2=""전체"", TRUE, (YEAR('기록'!$A:$A)&amp;"""")=$A$2)))), ""-""))"),"-")</f>
        <v>-</v>
      </c>
      <c r="X31" s="39" t="str">
        <f>IFERROR(__xludf.DUMMYFUNCTION("IF(X$6="""", """", IFERROR(AVERAGE(FILTER('기록'!$F:$F, ('기록'!$D:$D=X$6) * ('기록'!$C:$C=""남"") * (IF($A$2=""전체"", TRUE, (YEAR('기록'!$A:$A)&amp;"""")=$A$2)))), ""-""))"),"-")</f>
        <v>-</v>
      </c>
      <c r="Y31" s="39" t="str">
        <f>IFERROR(__xludf.DUMMYFUNCTION("IF(Y$6="""", """", IFERROR(AVERAGE(FILTER('기록'!$F:$F, ('기록'!$D:$D=Y$6) * ('기록'!$C:$C=""남"") * (IF($A$2=""전체"", TRUE, (YEAR('기록'!$A:$A)&amp;"""")=$A$2)))), ""-""))"),"-")</f>
        <v>-</v>
      </c>
      <c r="Z31" s="39" t="str">
        <f>IFERROR(__xludf.DUMMYFUNCTION("IF(Z$6="""", """", IFERROR(AVERAGE(FILTER('기록'!$F:$F, ('기록'!$D:$D=Z$6) * ('기록'!$C:$C=""남"") * (IF($A$2=""전체"", TRUE, (YEAR('기록'!$A:$A)&amp;"""")=$A$2)))), ""-""))"),"-")</f>
        <v>-</v>
      </c>
      <c r="AA31" s="39" t="str">
        <f>IFERROR(__xludf.DUMMYFUNCTION("IF(AA$6="""", """", IFERROR(AVERAGE(FILTER('기록'!$F:$F, ('기록'!$D:$D=AA$6) * ('기록'!$C:$C=""남"") * (IF($A$2=""전체"", TRUE, (YEAR('기록'!$A:$A)&amp;"""")=$A$2)))), ""-""))"),"-")</f>
        <v>-</v>
      </c>
      <c r="AB31" s="39" t="str">
        <f>IFERROR(__xludf.DUMMYFUNCTION("IF(AB$6="""", """", IFERROR(AVERAGE(FILTER('기록'!$F:$F, ('기록'!$D:$D=AB$6) * ('기록'!$C:$C=""남"") * (IF($A$2=""전체"", TRUE, (YEAR('기록'!$A:$A)&amp;"""")=$A$2)))), ""-""))"),"-")</f>
        <v>-</v>
      </c>
      <c r="AC31" s="39">
        <f>IFERROR(__xludf.DUMMYFUNCTION("IF(AC$6="""", """", IFERROR(AVERAGE(FILTER('기록'!$F:$F, ('기록'!$D:$D=AC$6) * ('기록'!$C:$C=""남"") * (IF($A$2=""전체"", TRUE, (YEAR('기록'!$A:$A)&amp;"""")=$A$2)))), ""-""))"),3.75)</f>
        <v>3.75</v>
      </c>
      <c r="AD31" s="39" t="str">
        <f>IFERROR(__xludf.DUMMYFUNCTION("IF(AD$6="""", """", IFERROR(AVERAGE(FILTER('기록'!$F:$F, ('기록'!$D:$D=AD$6) * ('기록'!$C:$C=""남"") * (IF($A$2=""전체"", TRUE, (YEAR('기록'!$A:$A)&amp;"""")=$A$2)))), ""-""))"),"-")</f>
        <v>-</v>
      </c>
      <c r="AE31" s="39" t="str">
        <f>IFERROR(__xludf.DUMMYFUNCTION("IF(AE$6="""", """", IFERROR(AVERAGE(FILTER('기록'!$F:$F, ('기록'!$D:$D=AE$6) * ('기록'!$C:$C=""남"") * (IF($A$2=""전체"", TRUE, (YEAR('기록'!$A:$A)&amp;"""")=$A$2)))), ""-""))"),"-")</f>
        <v>-</v>
      </c>
      <c r="AF31" s="39" t="str">
        <f>IFERROR(__xludf.DUMMYFUNCTION("IF(AF$6="""", """", IFERROR(AVERAGE(FILTER('기록'!$F:$F, ('기록'!$D:$D=AF$6) * ('기록'!$C:$C=""남"") * (IF($A$2=""전체"", TRUE, (YEAR('기록'!$A:$A)&amp;"""")=$A$2)))), ""-""))"),"-")</f>
        <v>-</v>
      </c>
      <c r="AG31" s="39">
        <f>IFERROR(__xludf.DUMMYFUNCTION("IF(AG$6="""", """", IFERROR(AVERAGE(FILTER('기록'!$F:$F, ('기록'!$D:$D=AG$6) * ('기록'!$C:$C=""남"") * (IF($A$2=""전체"", TRUE, (YEAR('기록'!$A:$A)&amp;"""")=$A$2)))), ""-""))"),1.0)</f>
        <v>1</v>
      </c>
      <c r="AH31" s="39">
        <f>IFERROR(__xludf.DUMMYFUNCTION("IF(AH$6="""", """", IFERROR(AVERAGE(FILTER('기록'!$F:$F, ('기록'!$D:$D=AH$6) * ('기록'!$C:$C=""남"") * (IF($A$2=""전체"", TRUE, (YEAR('기록'!$A:$A)&amp;"""")=$A$2)))), ""-""))"),2.0)</f>
        <v>2</v>
      </c>
      <c r="AI31" s="39" t="str">
        <f>IFERROR(__xludf.DUMMYFUNCTION("IF(AI$6="""", """", IFERROR(AVERAGE(FILTER('기록'!$F:$F, ('기록'!$D:$D=AI$6) * ('기록'!$C:$C=""남"") * (IF($A$2=""전체"", TRUE, (YEAR('기록'!$A:$A)&amp;"""")=$A$2)))), ""-""))"),"-")</f>
        <v>-</v>
      </c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</row>
    <row r="32">
      <c r="A32" s="15"/>
      <c r="B32" s="48" t="s">
        <v>85</v>
      </c>
      <c r="C32" s="50">
        <f>IFERROR(__xludf.DUMMYFUNCTION("IF(C$6="""", """", IFERROR(AVERAGE(FILTER('기록'!$F:$F, ('기록'!$D:$D=C$6) * ('기록'!$C:$C=""서"") * (IF($A$2=""전체"", TRUE, (YEAR('기록'!$A:$A)&amp;"""")=$A$2)))), ""-""))"),2.6)</f>
        <v>2.6</v>
      </c>
      <c r="D32" s="50">
        <f>IFERROR(__xludf.DUMMYFUNCTION("IF(D$6="""", """", IFERROR(AVERAGE(FILTER('기록'!$F:$F, ('기록'!$D:$D=D$6) * ('기록'!$C:$C=""서"") * (IF($A$2=""전체"", TRUE, (YEAR('기록'!$A:$A)&amp;"""")=$A$2)))), ""-""))"),2.5)</f>
        <v>2.5</v>
      </c>
      <c r="E32" s="50">
        <f>IFERROR(__xludf.DUMMYFUNCTION("IF(E$6="""", """", IFERROR(AVERAGE(FILTER('기록'!$F:$F, ('기록'!$D:$D=E$6) * ('기록'!$C:$C=""서"") * (IF($A$2=""전체"", TRUE, (YEAR('기록'!$A:$A)&amp;"""")=$A$2)))), ""-""))"),3.0)</f>
        <v>3</v>
      </c>
      <c r="F32" s="50">
        <f>IFERROR(__xludf.DUMMYFUNCTION("IF(F$6="""", """", IFERROR(AVERAGE(FILTER('기록'!$F:$F, ('기록'!$D:$D=F$6) * ('기록'!$C:$C=""서"") * (IF($A$2=""전체"", TRUE, (YEAR('기록'!$A:$A)&amp;"""")=$A$2)))), ""-""))"),2.6666666666666665)</f>
        <v>2.666666667</v>
      </c>
      <c r="G32" s="50">
        <f>IFERROR(__xludf.DUMMYFUNCTION("IF(G$6="""", """", IFERROR(AVERAGE(FILTER('기록'!$F:$F, ('기록'!$D:$D=G$6) * ('기록'!$C:$C=""서"") * (IF($A$2=""전체"", TRUE, (YEAR('기록'!$A:$A)&amp;"""")=$A$2)))), ""-""))"),2.25)</f>
        <v>2.25</v>
      </c>
      <c r="H32" s="50">
        <f>IFERROR(__xludf.DUMMYFUNCTION("IF(H$6="""", """", IFERROR(AVERAGE(FILTER('기록'!$F:$F, ('기록'!$D:$D=H$6) * ('기록'!$C:$C=""서"") * (IF($A$2=""전체"", TRUE, (YEAR('기록'!$A:$A)&amp;"""")=$A$2)))), ""-""))"),2.5)</f>
        <v>2.5</v>
      </c>
      <c r="I32" s="50">
        <f>IFERROR(__xludf.DUMMYFUNCTION("IF(I$6="""", """", IFERROR(AVERAGE(FILTER('기록'!$F:$F, ('기록'!$D:$D=I$6) * ('기록'!$C:$C=""서"") * (IF($A$2=""전체"", TRUE, (YEAR('기록'!$A:$A)&amp;"""")=$A$2)))), ""-""))"),2.0)</f>
        <v>2</v>
      </c>
      <c r="J32" s="50" t="str">
        <f>IFERROR(__xludf.DUMMYFUNCTION("IF(J$6="""", """", IFERROR(AVERAGE(FILTER('기록'!$F:$F, ('기록'!$D:$D=J$6) * ('기록'!$C:$C=""서"") * (IF($A$2=""전체"", TRUE, (YEAR('기록'!$A:$A)&amp;"""")=$A$2)))), ""-""))"),"-")</f>
        <v>-</v>
      </c>
      <c r="K32" s="50">
        <f>IFERROR(__xludf.DUMMYFUNCTION("IF(K$6="""", """", IFERROR(AVERAGE(FILTER('기록'!$F:$F, ('기록'!$D:$D=K$6) * ('기록'!$C:$C=""서"") * (IF($A$2=""전체"", TRUE, (YEAR('기록'!$A:$A)&amp;"""")=$A$2)))), ""-""))"),3.0)</f>
        <v>3</v>
      </c>
      <c r="L32" s="50">
        <f>IFERROR(__xludf.DUMMYFUNCTION("IF(L$6="""", """", IFERROR(AVERAGE(FILTER('기록'!$F:$F, ('기록'!$D:$D=L$6) * ('기록'!$C:$C=""서"") * (IF($A$2=""전체"", TRUE, (YEAR('기록'!$A:$A)&amp;"""")=$A$2)))), ""-""))"),2.2)</f>
        <v>2.2</v>
      </c>
      <c r="M32" s="50">
        <f>IFERROR(__xludf.DUMMYFUNCTION("IF(M$6="""", """", IFERROR(AVERAGE(FILTER('기록'!$F:$F, ('기록'!$D:$D=M$6) * ('기록'!$C:$C=""서"") * (IF($A$2=""전체"", TRUE, (YEAR('기록'!$A:$A)&amp;"""")=$A$2)))), ""-""))"),1.6666666666666667)</f>
        <v>1.666666667</v>
      </c>
      <c r="N32" s="50" t="str">
        <f>IFERROR(__xludf.DUMMYFUNCTION("IF(N$6="""", """", IFERROR(AVERAGE(FILTER('기록'!$F:$F, ('기록'!$D:$D=N$6) * ('기록'!$C:$C=""서"") * (IF($A$2=""전체"", TRUE, (YEAR('기록'!$A:$A)&amp;"""")=$A$2)))), ""-""))"),"-")</f>
        <v>-</v>
      </c>
      <c r="O32" s="50">
        <f>IFERROR(__xludf.DUMMYFUNCTION("IF(O$6="""", """", IFERROR(AVERAGE(FILTER('기록'!$F:$F, ('기록'!$D:$D=O$6) * ('기록'!$C:$C=""서"") * (IF($A$2=""전체"", TRUE, (YEAR('기록'!$A:$A)&amp;"""")=$A$2)))), ""-""))"),3.0)</f>
        <v>3</v>
      </c>
      <c r="P32" s="50" t="str">
        <f>IFERROR(__xludf.DUMMYFUNCTION("IF(P$6="""", """", IFERROR(AVERAGE(FILTER('기록'!$F:$F, ('기록'!$D:$D=P$6) * ('기록'!$C:$C=""서"") * (IF($A$2=""전체"", TRUE, (YEAR('기록'!$A:$A)&amp;"""")=$A$2)))), ""-""))"),"-")</f>
        <v>-</v>
      </c>
      <c r="Q32" s="50" t="str">
        <f>IFERROR(__xludf.DUMMYFUNCTION("IF(Q$6="""", """", IFERROR(AVERAGE(FILTER('기록'!$F:$F, ('기록'!$D:$D=Q$6) * ('기록'!$C:$C=""서"") * (IF($A$2=""전체"", TRUE, (YEAR('기록'!$A:$A)&amp;"""")=$A$2)))), ""-""))"),"-")</f>
        <v>-</v>
      </c>
      <c r="R32" s="50" t="str">
        <f>IFERROR(__xludf.DUMMYFUNCTION("IF(R$6="""", """", IFERROR(AVERAGE(FILTER('기록'!$F:$F, ('기록'!$D:$D=R$6) * ('기록'!$C:$C=""서"") * (IF($A$2=""전체"", TRUE, (YEAR('기록'!$A:$A)&amp;"""")=$A$2)))), ""-""))"),"-")</f>
        <v>-</v>
      </c>
      <c r="S32" s="50" t="str">
        <f>IFERROR(__xludf.DUMMYFUNCTION("IF(S$6="""", """", IFERROR(AVERAGE(FILTER('기록'!$F:$F, ('기록'!$D:$D=S$6) * ('기록'!$C:$C=""서"") * (IF($A$2=""전체"", TRUE, (YEAR('기록'!$A:$A)&amp;"""")=$A$2)))), ""-""))"),"-")</f>
        <v>-</v>
      </c>
      <c r="T32" s="50" t="str">
        <f>IFERROR(__xludf.DUMMYFUNCTION("IF(T$6="""", """", IFERROR(AVERAGE(FILTER('기록'!$F:$F, ('기록'!$D:$D=T$6) * ('기록'!$C:$C=""서"") * (IF($A$2=""전체"", TRUE, (YEAR('기록'!$A:$A)&amp;"""")=$A$2)))), ""-""))"),"-")</f>
        <v>-</v>
      </c>
      <c r="U32" s="50" t="str">
        <f>IFERROR(__xludf.DUMMYFUNCTION("IF(U$6="""", """", IFERROR(AVERAGE(FILTER('기록'!$F:$F, ('기록'!$D:$D=U$6) * ('기록'!$C:$C=""서"") * (IF($A$2=""전체"", TRUE, (YEAR('기록'!$A:$A)&amp;"""")=$A$2)))), ""-""))"),"-")</f>
        <v>-</v>
      </c>
      <c r="V32" s="50">
        <f>IFERROR(__xludf.DUMMYFUNCTION("IF(V$6="""", """", IFERROR(AVERAGE(FILTER('기록'!$F:$F, ('기록'!$D:$D=V$6) * ('기록'!$C:$C=""서"") * (IF($A$2=""전체"", TRUE, (YEAR('기록'!$A:$A)&amp;"""")=$A$2)))), ""-""))"),2.75)</f>
        <v>2.75</v>
      </c>
      <c r="W32" s="50" t="str">
        <f>IFERROR(__xludf.DUMMYFUNCTION("IF(W$6="""", """", IFERROR(AVERAGE(FILTER('기록'!$F:$F, ('기록'!$D:$D=W$6) * ('기록'!$C:$C=""서"") * (IF($A$2=""전체"", TRUE, (YEAR('기록'!$A:$A)&amp;"""")=$A$2)))), ""-""))"),"-")</f>
        <v>-</v>
      </c>
      <c r="X32" s="50" t="str">
        <f>IFERROR(__xludf.DUMMYFUNCTION("IF(X$6="""", """", IFERROR(AVERAGE(FILTER('기록'!$F:$F, ('기록'!$D:$D=X$6) * ('기록'!$C:$C=""서"") * (IF($A$2=""전체"", TRUE, (YEAR('기록'!$A:$A)&amp;"""")=$A$2)))), ""-""))"),"-")</f>
        <v>-</v>
      </c>
      <c r="Y32" s="50" t="str">
        <f>IFERROR(__xludf.DUMMYFUNCTION("IF(Y$6="""", """", IFERROR(AVERAGE(FILTER('기록'!$F:$F, ('기록'!$D:$D=Y$6) * ('기록'!$C:$C=""서"") * (IF($A$2=""전체"", TRUE, (YEAR('기록'!$A:$A)&amp;"""")=$A$2)))), ""-""))"),"-")</f>
        <v>-</v>
      </c>
      <c r="Z32" s="50" t="str">
        <f>IFERROR(__xludf.DUMMYFUNCTION("IF(Z$6="""", """", IFERROR(AVERAGE(FILTER('기록'!$F:$F, ('기록'!$D:$D=Z$6) * ('기록'!$C:$C=""서"") * (IF($A$2=""전체"", TRUE, (YEAR('기록'!$A:$A)&amp;"""")=$A$2)))), ""-""))"),"-")</f>
        <v>-</v>
      </c>
      <c r="AA32" s="50" t="str">
        <f>IFERROR(__xludf.DUMMYFUNCTION("IF(AA$6="""", """", IFERROR(AVERAGE(FILTER('기록'!$F:$F, ('기록'!$D:$D=AA$6) * ('기록'!$C:$C=""서"") * (IF($A$2=""전체"", TRUE, (YEAR('기록'!$A:$A)&amp;"""")=$A$2)))), ""-""))"),"-")</f>
        <v>-</v>
      </c>
      <c r="AB32" s="50" t="str">
        <f>IFERROR(__xludf.DUMMYFUNCTION("IF(AB$6="""", """", IFERROR(AVERAGE(FILTER('기록'!$F:$F, ('기록'!$D:$D=AB$6) * ('기록'!$C:$C=""서"") * (IF($A$2=""전체"", TRUE, (YEAR('기록'!$A:$A)&amp;"""")=$A$2)))), ""-""))"),"-")</f>
        <v>-</v>
      </c>
      <c r="AC32" s="50">
        <f>IFERROR(__xludf.DUMMYFUNCTION("IF(AC$6="""", """", IFERROR(AVERAGE(FILTER('기록'!$F:$F, ('기록'!$D:$D=AC$6) * ('기록'!$C:$C=""서"") * (IF($A$2=""전체"", TRUE, (YEAR('기록'!$A:$A)&amp;"""")=$A$2)))), ""-""))"),3.0)</f>
        <v>3</v>
      </c>
      <c r="AD32" s="50" t="str">
        <f>IFERROR(__xludf.DUMMYFUNCTION("IF(AD$6="""", """", IFERROR(AVERAGE(FILTER('기록'!$F:$F, ('기록'!$D:$D=AD$6) * ('기록'!$C:$C=""서"") * (IF($A$2=""전체"", TRUE, (YEAR('기록'!$A:$A)&amp;"""")=$A$2)))), ""-""))"),"-")</f>
        <v>-</v>
      </c>
      <c r="AE32" s="50" t="str">
        <f>IFERROR(__xludf.DUMMYFUNCTION("IF(AE$6="""", """", IFERROR(AVERAGE(FILTER('기록'!$F:$F, ('기록'!$D:$D=AE$6) * ('기록'!$C:$C=""서"") * (IF($A$2=""전체"", TRUE, (YEAR('기록'!$A:$A)&amp;"""")=$A$2)))), ""-""))"),"-")</f>
        <v>-</v>
      </c>
      <c r="AF32" s="50" t="str">
        <f>IFERROR(__xludf.DUMMYFUNCTION("IF(AF$6="""", """", IFERROR(AVERAGE(FILTER('기록'!$F:$F, ('기록'!$D:$D=AF$6) * ('기록'!$C:$C=""서"") * (IF($A$2=""전체"", TRUE, (YEAR('기록'!$A:$A)&amp;"""")=$A$2)))), ""-""))"),"-")</f>
        <v>-</v>
      </c>
      <c r="AG32" s="50">
        <f>IFERROR(__xludf.DUMMYFUNCTION("IF(AG$6="""", """", IFERROR(AVERAGE(FILTER('기록'!$F:$F, ('기록'!$D:$D=AG$6) * ('기록'!$C:$C=""서"") * (IF($A$2=""전체"", TRUE, (YEAR('기록'!$A:$A)&amp;"""")=$A$2)))), ""-""))"),1.5)</f>
        <v>1.5</v>
      </c>
      <c r="AH32" s="50">
        <f>IFERROR(__xludf.DUMMYFUNCTION("IF(AH$6="""", """", IFERROR(AVERAGE(FILTER('기록'!$F:$F, ('기록'!$D:$D=AH$6) * ('기록'!$C:$C=""서"") * (IF($A$2=""전체"", TRUE, (YEAR('기록'!$A:$A)&amp;"""")=$A$2)))), ""-""))"),2.5)</f>
        <v>2.5</v>
      </c>
      <c r="AI32" s="50">
        <f>IFERROR(__xludf.DUMMYFUNCTION("IF(AI$6="""", """", IFERROR(AVERAGE(FILTER('기록'!$F:$F, ('기록'!$D:$D=AI$6) * ('기록'!$C:$C=""서"") * (IF($A$2=""전체"", TRUE, (YEAR('기록'!$A:$A)&amp;"""")=$A$2)))), ""-""))"),1.6666666666666667)</f>
        <v>1.666666667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</row>
    <row r="33">
      <c r="A33" s="15"/>
      <c r="B33" s="48" t="s">
        <v>86</v>
      </c>
      <c r="C33" s="39">
        <f>IFERROR(__xludf.DUMMYFUNCTION("IF(C$6="""", """", IFERROR(AVERAGE(FILTER('기록'!$F:$F, ('기록'!$D:$D=C$6) * ('기록'!$C:$C=""북"") * (IF($A$2=""전체"", TRUE, (YEAR('기록'!$A:$A)&amp;"""")=$A$2)))), ""-""))"),4.0)</f>
        <v>4</v>
      </c>
      <c r="D33" s="39">
        <f>IFERROR(__xludf.DUMMYFUNCTION("IF(D$6="""", """", IFERROR(AVERAGE(FILTER('기록'!$F:$F, ('기록'!$D:$D=D$6) * ('기록'!$C:$C=""북"") * (IF($A$2=""전체"", TRUE, (YEAR('기록'!$A:$A)&amp;"""")=$A$2)))), ""-""))"),2.2941176470588234)</f>
        <v>2.294117647</v>
      </c>
      <c r="E33" s="39">
        <f>IFERROR(__xludf.DUMMYFUNCTION("IF(E$6="""", """", IFERROR(AVERAGE(FILTER('기록'!$F:$F, ('기록'!$D:$D=E$6) * ('기록'!$C:$C=""북"") * (IF($A$2=""전체"", TRUE, (YEAR('기록'!$A:$A)&amp;"""")=$A$2)))), ""-""))"),2.25)</f>
        <v>2.25</v>
      </c>
      <c r="F33" s="39">
        <f>IFERROR(__xludf.DUMMYFUNCTION("IF(F$6="""", """", IFERROR(AVERAGE(FILTER('기록'!$F:$F, ('기록'!$D:$D=F$6) * ('기록'!$C:$C=""북"") * (IF($A$2=""전체"", TRUE, (YEAR('기록'!$A:$A)&amp;"""")=$A$2)))), ""-""))"),3.4)</f>
        <v>3.4</v>
      </c>
      <c r="G33" s="39">
        <f>IFERROR(__xludf.DUMMYFUNCTION("IF(G$6="""", """", IFERROR(AVERAGE(FILTER('기록'!$F:$F, ('기록'!$D:$D=G$6) * ('기록'!$C:$C=""북"") * (IF($A$2=""전체"", TRUE, (YEAR('기록'!$A:$A)&amp;"""")=$A$2)))), ""-""))"),3.4)</f>
        <v>3.4</v>
      </c>
      <c r="H33" s="39" t="str">
        <f>IFERROR(__xludf.DUMMYFUNCTION("IF(H$6="""", """", IFERROR(AVERAGE(FILTER('기록'!$F:$F, ('기록'!$D:$D=H$6) * ('기록'!$C:$C=""북"") * (IF($A$2=""전체"", TRUE, (YEAR('기록'!$A:$A)&amp;"""")=$A$2)))), ""-""))"),"-")</f>
        <v>-</v>
      </c>
      <c r="I33" s="39">
        <f>IFERROR(__xludf.DUMMYFUNCTION("IF(I$6="""", """", IFERROR(AVERAGE(FILTER('기록'!$F:$F, ('기록'!$D:$D=I$6) * ('기록'!$C:$C=""북"") * (IF($A$2=""전체"", TRUE, (YEAR('기록'!$A:$A)&amp;"""")=$A$2)))), ""-""))"),3.0)</f>
        <v>3</v>
      </c>
      <c r="J33" s="39" t="str">
        <f>IFERROR(__xludf.DUMMYFUNCTION("IF(J$6="""", """", IFERROR(AVERAGE(FILTER('기록'!$F:$F, ('기록'!$D:$D=J$6) * ('기록'!$C:$C=""북"") * (IF($A$2=""전체"", TRUE, (YEAR('기록'!$A:$A)&amp;"""")=$A$2)))), ""-""))"),"-")</f>
        <v>-</v>
      </c>
      <c r="K33" s="39">
        <f>IFERROR(__xludf.DUMMYFUNCTION("IF(K$6="""", """", IFERROR(AVERAGE(FILTER('기록'!$F:$F, ('기록'!$D:$D=K$6) * ('기록'!$C:$C=""북"") * (IF($A$2=""전체"", TRUE, (YEAR('기록'!$A:$A)&amp;"""")=$A$2)))), ""-""))"),2.5)</f>
        <v>2.5</v>
      </c>
      <c r="L33" s="39">
        <f>IFERROR(__xludf.DUMMYFUNCTION("IF(L$6="""", """", IFERROR(AVERAGE(FILTER('기록'!$F:$F, ('기록'!$D:$D=L$6) * ('기록'!$C:$C=""북"") * (IF($A$2=""전체"", TRUE, (YEAR('기록'!$A:$A)&amp;"""")=$A$2)))), ""-""))"),2.6666666666666665)</f>
        <v>2.666666667</v>
      </c>
      <c r="M33" s="39">
        <f>IFERROR(__xludf.DUMMYFUNCTION("IF(M$6="""", """", IFERROR(AVERAGE(FILTER('기록'!$F:$F, ('기록'!$D:$D=M$6) * ('기록'!$C:$C=""북"") * (IF($A$2=""전체"", TRUE, (YEAR('기록'!$A:$A)&amp;"""")=$A$2)))), ""-""))"),2.076923076923077)</f>
        <v>2.076923077</v>
      </c>
      <c r="N33" s="39" t="str">
        <f>IFERROR(__xludf.DUMMYFUNCTION("IF(N$6="""", """", IFERROR(AVERAGE(FILTER('기록'!$F:$F, ('기록'!$D:$D=N$6) * ('기록'!$C:$C=""북"") * (IF($A$2=""전체"", TRUE, (YEAR('기록'!$A:$A)&amp;"""")=$A$2)))), ""-""))"),"-")</f>
        <v>-</v>
      </c>
      <c r="O33" s="39">
        <f>IFERROR(__xludf.DUMMYFUNCTION("IF(O$6="""", """", IFERROR(AVERAGE(FILTER('기록'!$F:$F, ('기록'!$D:$D=O$6) * ('기록'!$C:$C=""북"") * (IF($A$2=""전체"", TRUE, (YEAR('기록'!$A:$A)&amp;"""")=$A$2)))), ""-""))"),4.0)</f>
        <v>4</v>
      </c>
      <c r="P33" s="39" t="str">
        <f>IFERROR(__xludf.DUMMYFUNCTION("IF(P$6="""", """", IFERROR(AVERAGE(FILTER('기록'!$F:$F, ('기록'!$D:$D=P$6) * ('기록'!$C:$C=""북"") * (IF($A$2=""전체"", TRUE, (YEAR('기록'!$A:$A)&amp;"""")=$A$2)))), ""-""))"),"-")</f>
        <v>-</v>
      </c>
      <c r="Q33" s="39" t="str">
        <f>IFERROR(__xludf.DUMMYFUNCTION("IF(Q$6="""", """", IFERROR(AVERAGE(FILTER('기록'!$F:$F, ('기록'!$D:$D=Q$6) * ('기록'!$C:$C=""북"") * (IF($A$2=""전체"", TRUE, (YEAR('기록'!$A:$A)&amp;"""")=$A$2)))), ""-""))"),"-")</f>
        <v>-</v>
      </c>
      <c r="R33" s="39" t="str">
        <f>IFERROR(__xludf.DUMMYFUNCTION("IF(R$6="""", """", IFERROR(AVERAGE(FILTER('기록'!$F:$F, ('기록'!$D:$D=R$6) * ('기록'!$C:$C=""북"") * (IF($A$2=""전체"", TRUE, (YEAR('기록'!$A:$A)&amp;"""")=$A$2)))), ""-""))"),"-")</f>
        <v>-</v>
      </c>
      <c r="S33" s="39" t="str">
        <f>IFERROR(__xludf.DUMMYFUNCTION("IF(S$6="""", """", IFERROR(AVERAGE(FILTER('기록'!$F:$F, ('기록'!$D:$D=S$6) * ('기록'!$C:$C=""북"") * (IF($A$2=""전체"", TRUE, (YEAR('기록'!$A:$A)&amp;"""")=$A$2)))), ""-""))"),"-")</f>
        <v>-</v>
      </c>
      <c r="T33" s="39" t="str">
        <f>IFERROR(__xludf.DUMMYFUNCTION("IF(T$6="""", """", IFERROR(AVERAGE(FILTER('기록'!$F:$F, ('기록'!$D:$D=T$6) * ('기록'!$C:$C=""북"") * (IF($A$2=""전체"", TRUE, (YEAR('기록'!$A:$A)&amp;"""")=$A$2)))), ""-""))"),"-")</f>
        <v>-</v>
      </c>
      <c r="U33" s="39" t="str">
        <f>IFERROR(__xludf.DUMMYFUNCTION("IF(U$6="""", """", IFERROR(AVERAGE(FILTER('기록'!$F:$F, ('기록'!$D:$D=U$6) * ('기록'!$C:$C=""북"") * (IF($A$2=""전체"", TRUE, (YEAR('기록'!$A:$A)&amp;"""")=$A$2)))), ""-""))"),"-")</f>
        <v>-</v>
      </c>
      <c r="V33" s="39">
        <f>IFERROR(__xludf.DUMMYFUNCTION("IF(V$6="""", """", IFERROR(AVERAGE(FILTER('기록'!$F:$F, ('기록'!$D:$D=V$6) * ('기록'!$C:$C=""북"") * (IF($A$2=""전체"", TRUE, (YEAR('기록'!$A:$A)&amp;"""")=$A$2)))), ""-""))"),3.0)</f>
        <v>3</v>
      </c>
      <c r="W33" s="39" t="str">
        <f>IFERROR(__xludf.DUMMYFUNCTION("IF(W$6="""", """", IFERROR(AVERAGE(FILTER('기록'!$F:$F, ('기록'!$D:$D=W$6) * ('기록'!$C:$C=""북"") * (IF($A$2=""전체"", TRUE, (YEAR('기록'!$A:$A)&amp;"""")=$A$2)))), ""-""))"),"-")</f>
        <v>-</v>
      </c>
      <c r="X33" s="39" t="str">
        <f>IFERROR(__xludf.DUMMYFUNCTION("IF(X$6="""", """", IFERROR(AVERAGE(FILTER('기록'!$F:$F, ('기록'!$D:$D=X$6) * ('기록'!$C:$C=""북"") * (IF($A$2=""전체"", TRUE, (YEAR('기록'!$A:$A)&amp;"""")=$A$2)))), ""-""))"),"-")</f>
        <v>-</v>
      </c>
      <c r="Y33" s="39" t="str">
        <f>IFERROR(__xludf.DUMMYFUNCTION("IF(Y$6="""", """", IFERROR(AVERAGE(FILTER('기록'!$F:$F, ('기록'!$D:$D=Y$6) * ('기록'!$C:$C=""북"") * (IF($A$2=""전체"", TRUE, (YEAR('기록'!$A:$A)&amp;"""")=$A$2)))), ""-""))"),"-")</f>
        <v>-</v>
      </c>
      <c r="Z33" s="39" t="str">
        <f>IFERROR(__xludf.DUMMYFUNCTION("IF(Z$6="""", """", IFERROR(AVERAGE(FILTER('기록'!$F:$F, ('기록'!$D:$D=Z$6) * ('기록'!$C:$C=""북"") * (IF($A$2=""전체"", TRUE, (YEAR('기록'!$A:$A)&amp;"""")=$A$2)))), ""-""))"),"-")</f>
        <v>-</v>
      </c>
      <c r="AA33" s="39" t="str">
        <f>IFERROR(__xludf.DUMMYFUNCTION("IF(AA$6="""", """", IFERROR(AVERAGE(FILTER('기록'!$F:$F, ('기록'!$D:$D=AA$6) * ('기록'!$C:$C=""북"") * (IF($A$2=""전체"", TRUE, (YEAR('기록'!$A:$A)&amp;"""")=$A$2)))), ""-""))"),"-")</f>
        <v>-</v>
      </c>
      <c r="AB33" s="39" t="str">
        <f>IFERROR(__xludf.DUMMYFUNCTION("IF(AB$6="""", """", IFERROR(AVERAGE(FILTER('기록'!$F:$F, ('기록'!$D:$D=AB$6) * ('기록'!$C:$C=""북"") * (IF($A$2=""전체"", TRUE, (YEAR('기록'!$A:$A)&amp;"""")=$A$2)))), ""-""))"),"-")</f>
        <v>-</v>
      </c>
      <c r="AC33" s="39" t="str">
        <f>IFERROR(__xludf.DUMMYFUNCTION("IF(AC$6="""", """", IFERROR(AVERAGE(FILTER('기록'!$F:$F, ('기록'!$D:$D=AC$6) * ('기록'!$C:$C=""북"") * (IF($A$2=""전체"", TRUE, (YEAR('기록'!$A:$A)&amp;"""")=$A$2)))), ""-""))"),"-")</f>
        <v>-</v>
      </c>
      <c r="AD33" s="39" t="str">
        <f>IFERROR(__xludf.DUMMYFUNCTION("IF(AD$6="""", """", IFERROR(AVERAGE(FILTER('기록'!$F:$F, ('기록'!$D:$D=AD$6) * ('기록'!$C:$C=""북"") * (IF($A$2=""전체"", TRUE, (YEAR('기록'!$A:$A)&amp;"""")=$A$2)))), ""-""))"),"-")</f>
        <v>-</v>
      </c>
      <c r="AE33" s="39" t="str">
        <f>IFERROR(__xludf.DUMMYFUNCTION("IF(AE$6="""", """", IFERROR(AVERAGE(FILTER('기록'!$F:$F, ('기록'!$D:$D=AE$6) * ('기록'!$C:$C=""북"") * (IF($A$2=""전체"", TRUE, (YEAR('기록'!$A:$A)&amp;"""")=$A$2)))), ""-""))"),"-")</f>
        <v>-</v>
      </c>
      <c r="AF33" s="39" t="str">
        <f>IFERROR(__xludf.DUMMYFUNCTION("IF(AF$6="""", """", IFERROR(AVERAGE(FILTER('기록'!$F:$F, ('기록'!$D:$D=AF$6) * ('기록'!$C:$C=""북"") * (IF($A$2=""전체"", TRUE, (YEAR('기록'!$A:$A)&amp;"""")=$A$2)))), ""-""))"),"-")</f>
        <v>-</v>
      </c>
      <c r="AG33" s="39">
        <f>IFERROR(__xludf.DUMMYFUNCTION("IF(AG$6="""", """", IFERROR(AVERAGE(FILTER('기록'!$F:$F, ('기록'!$D:$D=AG$6) * ('기록'!$C:$C=""북"") * (IF($A$2=""전체"", TRUE, (YEAR('기록'!$A:$A)&amp;"""")=$A$2)))), ""-""))"),4.0)</f>
        <v>4</v>
      </c>
      <c r="AH33" s="39">
        <f>IFERROR(__xludf.DUMMYFUNCTION("IF(AH$6="""", """", IFERROR(AVERAGE(FILTER('기록'!$F:$F, ('기록'!$D:$D=AH$6) * ('기록'!$C:$C=""북"") * (IF($A$2=""전체"", TRUE, (YEAR('기록'!$A:$A)&amp;"""")=$A$2)))), ""-""))"),3.25)</f>
        <v>3.25</v>
      </c>
      <c r="AI33" s="39">
        <f>IFERROR(__xludf.DUMMYFUNCTION("IF(AI$6="""", """", IFERROR(AVERAGE(FILTER('기록'!$F:$F, ('기록'!$D:$D=AI$6) * ('기록'!$C:$C=""북"") * (IF($A$2=""전체"", TRUE, (YEAR('기록'!$A:$A)&amp;"""")=$A$2)))), ""-""))"),4.0)</f>
        <v>4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</row>
    <row r="34">
      <c r="A34" s="15"/>
      <c r="B34" s="48" t="s">
        <v>87</v>
      </c>
      <c r="C34" s="47">
        <f>IFERROR(__xludf.DUMMYFUNCTION("IF(C$6="""", """", IFERROR(ROWS(FILTER('기록'!$C:$C, ('기록'!$D:$D=C$6) * ('기록'!$C:$C=""동"") * (IF($A$2=""전체"", TRUE, (YEAR('기록'!$A:$A)&amp;"""")=$A$2)))), 0))"),5.0)</f>
        <v>5</v>
      </c>
      <c r="D34" s="47">
        <f>IFERROR(__xludf.DUMMYFUNCTION("IF(D$6="""", """", IFERROR(ROWS(FILTER('기록'!$C:$C, ('기록'!$D:$D=D$6) * ('기록'!$C:$C=""동"") * (IF($A$2=""전체"", TRUE, (YEAR('기록'!$A:$A)&amp;"""")=$A$2)))), 0))"),11.0)</f>
        <v>11</v>
      </c>
      <c r="E34" s="47">
        <f>IFERROR(__xludf.DUMMYFUNCTION("IF(E$6="""", """", IFERROR(ROWS(FILTER('기록'!$C:$C, ('기록'!$D:$D=E$6) * ('기록'!$C:$C=""동"") * (IF($A$2=""전체"", TRUE, (YEAR('기록'!$A:$A)&amp;"""")=$A$2)))), 0))"),2.0)</f>
        <v>2</v>
      </c>
      <c r="F34" s="47">
        <f>IFERROR(__xludf.DUMMYFUNCTION("IF(F$6="""", """", IFERROR(ROWS(FILTER('기록'!$C:$C, ('기록'!$D:$D=F$6) * ('기록'!$C:$C=""동"") * (IF($A$2=""전체"", TRUE, (YEAR('기록'!$A:$A)&amp;"""")=$A$2)))), 0))"),11.0)</f>
        <v>11</v>
      </c>
      <c r="G34" s="47">
        <f>IFERROR(__xludf.DUMMYFUNCTION("IF(G$6="""", """", IFERROR(ROWS(FILTER('기록'!$C:$C, ('기록'!$D:$D=G$6) * ('기록'!$C:$C=""동"") * (IF($A$2=""전체"", TRUE, (YEAR('기록'!$A:$A)&amp;"""")=$A$2)))), 0))"),5.0)</f>
        <v>5</v>
      </c>
      <c r="H34" s="47">
        <f>IFERROR(__xludf.DUMMYFUNCTION("IF(H$6="""", """", IFERROR(ROWS(FILTER('기록'!$C:$C, ('기록'!$D:$D=H$6) * ('기록'!$C:$C=""동"") * (IF($A$2=""전체"", TRUE, (YEAR('기록'!$A:$A)&amp;"""")=$A$2)))), 0))"),3.0)</f>
        <v>3</v>
      </c>
      <c r="I34" s="47">
        <f>IFERROR(__xludf.DUMMYFUNCTION("IF(I$6="""", """", IFERROR(ROWS(FILTER('기록'!$C:$C, ('기록'!$D:$D=I$6) * ('기록'!$C:$C=""동"") * (IF($A$2=""전체"", TRUE, (YEAR('기록'!$A:$A)&amp;"""")=$A$2)))), 0))"),3.0)</f>
        <v>3</v>
      </c>
      <c r="J34" s="47">
        <f>IFERROR(__xludf.DUMMYFUNCTION("IF(J$6="""", """", IFERROR(ROWS(FILTER('기록'!$C:$C, ('기록'!$D:$D=J$6) * ('기록'!$C:$C=""동"") * (IF($A$2=""전체"", TRUE, (YEAR('기록'!$A:$A)&amp;"""")=$A$2)))), 0))"),0.0)</f>
        <v>0</v>
      </c>
      <c r="K34" s="47">
        <f>IFERROR(__xludf.DUMMYFUNCTION("IF(K$6="""", """", IFERROR(ROWS(FILTER('기록'!$C:$C, ('기록'!$D:$D=K$6) * ('기록'!$C:$C=""동"") * (IF($A$2=""전체"", TRUE, (YEAR('기록'!$A:$A)&amp;"""")=$A$2)))), 0))"),2.0)</f>
        <v>2</v>
      </c>
      <c r="L34" s="47">
        <f>IFERROR(__xludf.DUMMYFUNCTION("IF(L$6="""", """", IFERROR(ROWS(FILTER('기록'!$C:$C, ('기록'!$D:$D=L$6) * ('기록'!$C:$C=""동"") * (IF($A$2=""전체"", TRUE, (YEAR('기록'!$A:$A)&amp;"""")=$A$2)))), 0))"),5.0)</f>
        <v>5</v>
      </c>
      <c r="M34" s="47">
        <f>IFERROR(__xludf.DUMMYFUNCTION("IF(M$6="""", """", IFERROR(ROWS(FILTER('기록'!$C:$C, ('기록'!$D:$D=M$6) * ('기록'!$C:$C=""동"") * (IF($A$2=""전체"", TRUE, (YEAR('기록'!$A:$A)&amp;"""")=$A$2)))), 0))"),6.0)</f>
        <v>6</v>
      </c>
      <c r="N34" s="47">
        <f>IFERROR(__xludf.DUMMYFUNCTION("IF(N$6="""", """", IFERROR(ROWS(FILTER('기록'!$C:$C, ('기록'!$D:$D=N$6) * ('기록'!$C:$C=""동"") * (IF($A$2=""전체"", TRUE, (YEAR('기록'!$A:$A)&amp;"""")=$A$2)))), 0))"),0.0)</f>
        <v>0</v>
      </c>
      <c r="O34" s="47">
        <f>IFERROR(__xludf.DUMMYFUNCTION("IF(O$6="""", """", IFERROR(ROWS(FILTER('기록'!$C:$C, ('기록'!$D:$D=O$6) * ('기록'!$C:$C=""동"") * (IF($A$2=""전체"", TRUE, (YEAR('기록'!$A:$A)&amp;"""")=$A$2)))), 0))"),1.0)</f>
        <v>1</v>
      </c>
      <c r="P34" s="47">
        <f>IFERROR(__xludf.DUMMYFUNCTION("IF(P$6="""", """", IFERROR(ROWS(FILTER('기록'!$C:$C, ('기록'!$D:$D=P$6) * ('기록'!$C:$C=""동"") * (IF($A$2=""전체"", TRUE, (YEAR('기록'!$A:$A)&amp;"""")=$A$2)))), 0))"),0.0)</f>
        <v>0</v>
      </c>
      <c r="Q34" s="47">
        <f>IFERROR(__xludf.DUMMYFUNCTION("IF(Q$6="""", """", IFERROR(ROWS(FILTER('기록'!$C:$C, ('기록'!$D:$D=Q$6) * ('기록'!$C:$C=""동"") * (IF($A$2=""전체"", TRUE, (YEAR('기록'!$A:$A)&amp;"""")=$A$2)))), 0))"),0.0)</f>
        <v>0</v>
      </c>
      <c r="R34" s="47">
        <f>IFERROR(__xludf.DUMMYFUNCTION("IF(R$6="""", """", IFERROR(ROWS(FILTER('기록'!$C:$C, ('기록'!$D:$D=R$6) * ('기록'!$C:$C=""동"") * (IF($A$2=""전체"", TRUE, (YEAR('기록'!$A:$A)&amp;"""")=$A$2)))), 0))"),0.0)</f>
        <v>0</v>
      </c>
      <c r="S34" s="47">
        <f>IFERROR(__xludf.DUMMYFUNCTION("IF(S$6="""", """", IFERROR(ROWS(FILTER('기록'!$C:$C, ('기록'!$D:$D=S$6) * ('기록'!$C:$C=""동"") * (IF($A$2=""전체"", TRUE, (YEAR('기록'!$A:$A)&amp;"""")=$A$2)))), 0))"),0.0)</f>
        <v>0</v>
      </c>
      <c r="T34" s="47">
        <f>IFERROR(__xludf.DUMMYFUNCTION("IF(T$6="""", """", IFERROR(ROWS(FILTER('기록'!$C:$C, ('기록'!$D:$D=T$6) * ('기록'!$C:$C=""동"") * (IF($A$2=""전체"", TRUE, (YEAR('기록'!$A:$A)&amp;"""")=$A$2)))), 0))"),0.0)</f>
        <v>0</v>
      </c>
      <c r="U34" s="47">
        <f>IFERROR(__xludf.DUMMYFUNCTION("IF(U$6="""", """", IFERROR(ROWS(FILTER('기록'!$C:$C, ('기록'!$D:$D=U$6) * ('기록'!$C:$C=""동"") * (IF($A$2=""전체"", TRUE, (YEAR('기록'!$A:$A)&amp;"""")=$A$2)))), 0))"),0.0)</f>
        <v>0</v>
      </c>
      <c r="V34" s="47">
        <f>IFERROR(__xludf.DUMMYFUNCTION("IF(V$6="""", """", IFERROR(ROWS(FILTER('기록'!$C:$C, ('기록'!$D:$D=V$6) * ('기록'!$C:$C=""동"") * (IF($A$2=""전체"", TRUE, (YEAR('기록'!$A:$A)&amp;"""")=$A$2)))), 0))"),4.0)</f>
        <v>4</v>
      </c>
      <c r="W34" s="47">
        <f>IFERROR(__xludf.DUMMYFUNCTION("IF(W$6="""", """", IFERROR(ROWS(FILTER('기록'!$C:$C, ('기록'!$D:$D=W$6) * ('기록'!$C:$C=""동"") * (IF($A$2=""전체"", TRUE, (YEAR('기록'!$A:$A)&amp;"""")=$A$2)))), 0))"),0.0)</f>
        <v>0</v>
      </c>
      <c r="X34" s="47">
        <f>IFERROR(__xludf.DUMMYFUNCTION("IF(X$6="""", """", IFERROR(ROWS(FILTER('기록'!$C:$C, ('기록'!$D:$D=X$6) * ('기록'!$C:$C=""동"") * (IF($A$2=""전체"", TRUE, (YEAR('기록'!$A:$A)&amp;"""")=$A$2)))), 0))"),0.0)</f>
        <v>0</v>
      </c>
      <c r="Y34" s="47">
        <f>IFERROR(__xludf.DUMMYFUNCTION("IF(Y$6="""", """", IFERROR(ROWS(FILTER('기록'!$C:$C, ('기록'!$D:$D=Y$6) * ('기록'!$C:$C=""동"") * (IF($A$2=""전체"", TRUE, (YEAR('기록'!$A:$A)&amp;"""")=$A$2)))), 0))"),0.0)</f>
        <v>0</v>
      </c>
      <c r="Z34" s="47">
        <f>IFERROR(__xludf.DUMMYFUNCTION("IF(Z$6="""", """", IFERROR(ROWS(FILTER('기록'!$C:$C, ('기록'!$D:$D=Z$6) * ('기록'!$C:$C=""동"") * (IF($A$2=""전체"", TRUE, (YEAR('기록'!$A:$A)&amp;"""")=$A$2)))), 0))"),0.0)</f>
        <v>0</v>
      </c>
      <c r="AA34" s="47">
        <f>IFERROR(__xludf.DUMMYFUNCTION("IF(AA$6="""", """", IFERROR(ROWS(FILTER('기록'!$C:$C, ('기록'!$D:$D=AA$6) * ('기록'!$C:$C=""동"") * (IF($A$2=""전체"", TRUE, (YEAR('기록'!$A:$A)&amp;"""")=$A$2)))), 0))"),0.0)</f>
        <v>0</v>
      </c>
      <c r="AB34" s="47">
        <f>IFERROR(__xludf.DUMMYFUNCTION("IF(AB$6="""", """", IFERROR(ROWS(FILTER('기록'!$C:$C, ('기록'!$D:$D=AB$6) * ('기록'!$C:$C=""동"") * (IF($A$2=""전체"", TRUE, (YEAR('기록'!$A:$A)&amp;"""")=$A$2)))), 0))"),0.0)</f>
        <v>0</v>
      </c>
      <c r="AC34" s="47">
        <f>IFERROR(__xludf.DUMMYFUNCTION("IF(AC$6="""", """", IFERROR(ROWS(FILTER('기록'!$C:$C, ('기록'!$D:$D=AC$6) * ('기록'!$C:$C=""동"") * (IF($A$2=""전체"", TRUE, (YEAR('기록'!$A:$A)&amp;"""")=$A$2)))), 0))"),1.0)</f>
        <v>1</v>
      </c>
      <c r="AD34" s="47">
        <f>IFERROR(__xludf.DUMMYFUNCTION("IF(AD$6="""", """", IFERROR(ROWS(FILTER('기록'!$C:$C, ('기록'!$D:$D=AD$6) * ('기록'!$C:$C=""동"") * (IF($A$2=""전체"", TRUE, (YEAR('기록'!$A:$A)&amp;"""")=$A$2)))), 0))"),0.0)</f>
        <v>0</v>
      </c>
      <c r="AE34" s="47">
        <f>IFERROR(__xludf.DUMMYFUNCTION("IF(AE$6="""", """", IFERROR(ROWS(FILTER('기록'!$C:$C, ('기록'!$D:$D=AE$6) * ('기록'!$C:$C=""동"") * (IF($A$2=""전체"", TRUE, (YEAR('기록'!$A:$A)&amp;"""")=$A$2)))), 0))"),0.0)</f>
        <v>0</v>
      </c>
      <c r="AF34" s="47">
        <f>IFERROR(__xludf.DUMMYFUNCTION("IF(AF$6="""", """", IFERROR(ROWS(FILTER('기록'!$C:$C, ('기록'!$D:$D=AF$6) * ('기록'!$C:$C=""동"") * (IF($A$2=""전체"", TRUE, (YEAR('기록'!$A:$A)&amp;"""")=$A$2)))), 0))"),0.0)</f>
        <v>0</v>
      </c>
      <c r="AG34" s="47">
        <f>IFERROR(__xludf.DUMMYFUNCTION("IF(AG$6="""", """", IFERROR(ROWS(FILTER('기록'!$C:$C, ('기록'!$D:$D=AG$6) * ('기록'!$C:$C=""동"") * (IF($A$2=""전체"", TRUE, (YEAR('기록'!$A:$A)&amp;"""")=$A$2)))), 0))"),2.0)</f>
        <v>2</v>
      </c>
      <c r="AH34" s="47">
        <f>IFERROR(__xludf.DUMMYFUNCTION("IF(AH$6="""", """", IFERROR(ROWS(FILTER('기록'!$C:$C, ('기록'!$D:$D=AH$6) * ('기록'!$C:$C=""동"") * (IF($A$2=""전체"", TRUE, (YEAR('기록'!$A:$A)&amp;"""")=$A$2)))), 0))"),3.0)</f>
        <v>3</v>
      </c>
      <c r="AI34" s="47">
        <f>IFERROR(__xludf.DUMMYFUNCTION("IF(AI$6="""", """", IFERROR(ROWS(FILTER('기록'!$C:$C, ('기록'!$D:$D=AI$6) * ('기록'!$C:$C=""동"") * (IF($A$2=""전체"", TRUE, (YEAR('기록'!$A:$A)&amp;"""")=$A$2)))), 0))"),2.0)</f>
        <v>2</v>
      </c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</row>
    <row r="35">
      <c r="A35" s="15"/>
      <c r="B35" s="48" t="s">
        <v>88</v>
      </c>
      <c r="C35" s="47">
        <f>IFERROR(__xludf.DUMMYFUNCTION("IF(C$6="""", """", IFERROR(ROWS(FILTER('기록'!$C:$C, ('기록'!$D:$D=C$6) * ('기록'!$C:$C=""남"") * (IF($A$2=""전체"", TRUE, (YEAR('기록'!$A:$A)&amp;"""")=$A$2)))), 0))"),3.0)</f>
        <v>3</v>
      </c>
      <c r="D35" s="47">
        <f>IFERROR(__xludf.DUMMYFUNCTION("IF(D$6="""", """", IFERROR(ROWS(FILTER('기록'!$C:$C, ('기록'!$D:$D=D$6) * ('기록'!$C:$C=""남"") * (IF($A$2=""전체"", TRUE, (YEAR('기록'!$A:$A)&amp;"""")=$A$2)))), 0))"),12.0)</f>
        <v>12</v>
      </c>
      <c r="E35" s="47">
        <f>IFERROR(__xludf.DUMMYFUNCTION("IF(E$6="""", """", IFERROR(ROWS(FILTER('기록'!$C:$C, ('기록'!$D:$D=E$6) * ('기록'!$C:$C=""남"") * (IF($A$2=""전체"", TRUE, (YEAR('기록'!$A:$A)&amp;"""")=$A$2)))), 0))"),6.0)</f>
        <v>6</v>
      </c>
      <c r="F35" s="47">
        <f>IFERROR(__xludf.DUMMYFUNCTION("IF(F$6="""", """", IFERROR(ROWS(FILTER('기록'!$C:$C, ('기록'!$D:$D=F$6) * ('기록'!$C:$C=""남"") * (IF($A$2=""전체"", TRUE, (YEAR('기록'!$A:$A)&amp;"""")=$A$2)))), 0))"),3.0)</f>
        <v>3</v>
      </c>
      <c r="G35" s="47">
        <f>IFERROR(__xludf.DUMMYFUNCTION("IF(G$6="""", """", IFERROR(ROWS(FILTER('기록'!$C:$C, ('기록'!$D:$D=G$6) * ('기록'!$C:$C=""남"") * (IF($A$2=""전체"", TRUE, (YEAR('기록'!$A:$A)&amp;"""")=$A$2)))), 0))"),5.0)</f>
        <v>5</v>
      </c>
      <c r="H35" s="47">
        <f>IFERROR(__xludf.DUMMYFUNCTION("IF(H$6="""", """", IFERROR(ROWS(FILTER('기록'!$C:$C, ('기록'!$D:$D=H$6) * ('기록'!$C:$C=""남"") * (IF($A$2=""전체"", TRUE, (YEAR('기록'!$A:$A)&amp;"""")=$A$2)))), 0))"),3.0)</f>
        <v>3</v>
      </c>
      <c r="I35" s="47">
        <f>IFERROR(__xludf.DUMMYFUNCTION("IF(I$6="""", """", IFERROR(ROWS(FILTER('기록'!$C:$C, ('기록'!$D:$D=I$6) * ('기록'!$C:$C=""남"") * (IF($A$2=""전체"", TRUE, (YEAR('기록'!$A:$A)&amp;"""")=$A$2)))), 0))"),1.0)</f>
        <v>1</v>
      </c>
      <c r="J35" s="47">
        <f>IFERROR(__xludf.DUMMYFUNCTION("IF(J$6="""", """", IFERROR(ROWS(FILTER('기록'!$C:$C, ('기록'!$D:$D=J$6) * ('기록'!$C:$C=""남"") * (IF($A$2=""전체"", TRUE, (YEAR('기록'!$A:$A)&amp;"""")=$A$2)))), 0))"),0.0)</f>
        <v>0</v>
      </c>
      <c r="K35" s="47">
        <f>IFERROR(__xludf.DUMMYFUNCTION("IF(K$6="""", """", IFERROR(ROWS(FILTER('기록'!$C:$C, ('기록'!$D:$D=K$6) * ('기록'!$C:$C=""남"") * (IF($A$2=""전체"", TRUE, (YEAR('기록'!$A:$A)&amp;"""")=$A$2)))), 0))"),1.0)</f>
        <v>1</v>
      </c>
      <c r="L35" s="47">
        <f>IFERROR(__xludf.DUMMYFUNCTION("IF(L$6="""", """", IFERROR(ROWS(FILTER('기록'!$C:$C, ('기록'!$D:$D=L$6) * ('기록'!$C:$C=""남"") * (IF($A$2=""전체"", TRUE, (YEAR('기록'!$A:$A)&amp;"""")=$A$2)))), 0))"),4.0)</f>
        <v>4</v>
      </c>
      <c r="M35" s="47">
        <f>IFERROR(__xludf.DUMMYFUNCTION("IF(M$6="""", """", IFERROR(ROWS(FILTER('기록'!$C:$C, ('기록'!$D:$D=M$6) * ('기록'!$C:$C=""남"") * (IF($A$2=""전체"", TRUE, (YEAR('기록'!$A:$A)&amp;"""")=$A$2)))), 0))"),15.0)</f>
        <v>15</v>
      </c>
      <c r="N35" s="47">
        <f>IFERROR(__xludf.DUMMYFUNCTION("IF(N$6="""", """", IFERROR(ROWS(FILTER('기록'!$C:$C, ('기록'!$D:$D=N$6) * ('기록'!$C:$C=""남"") * (IF($A$2=""전체"", TRUE, (YEAR('기록'!$A:$A)&amp;"""")=$A$2)))), 0))"),0.0)</f>
        <v>0</v>
      </c>
      <c r="O35" s="47">
        <f>IFERROR(__xludf.DUMMYFUNCTION("IF(O$6="""", """", IFERROR(ROWS(FILTER('기록'!$C:$C, ('기록'!$D:$D=O$6) * ('기록'!$C:$C=""남"") * (IF($A$2=""전체"", TRUE, (YEAR('기록'!$A:$A)&amp;"""")=$A$2)))), 0))"),2.0)</f>
        <v>2</v>
      </c>
      <c r="P35" s="47">
        <f>IFERROR(__xludf.DUMMYFUNCTION("IF(P$6="""", """", IFERROR(ROWS(FILTER('기록'!$C:$C, ('기록'!$D:$D=P$6) * ('기록'!$C:$C=""남"") * (IF($A$2=""전체"", TRUE, (YEAR('기록'!$A:$A)&amp;"""")=$A$2)))), 0))"),0.0)</f>
        <v>0</v>
      </c>
      <c r="Q35" s="47">
        <f>IFERROR(__xludf.DUMMYFUNCTION("IF(Q$6="""", """", IFERROR(ROWS(FILTER('기록'!$C:$C, ('기록'!$D:$D=Q$6) * ('기록'!$C:$C=""남"") * (IF($A$2=""전체"", TRUE, (YEAR('기록'!$A:$A)&amp;"""")=$A$2)))), 0))"),0.0)</f>
        <v>0</v>
      </c>
      <c r="R35" s="47">
        <f>IFERROR(__xludf.DUMMYFUNCTION("IF(R$6="""", """", IFERROR(ROWS(FILTER('기록'!$C:$C, ('기록'!$D:$D=R$6) * ('기록'!$C:$C=""남"") * (IF($A$2=""전체"", TRUE, (YEAR('기록'!$A:$A)&amp;"""")=$A$2)))), 0))"),0.0)</f>
        <v>0</v>
      </c>
      <c r="S35" s="47">
        <f>IFERROR(__xludf.DUMMYFUNCTION("IF(S$6="""", """", IFERROR(ROWS(FILTER('기록'!$C:$C, ('기록'!$D:$D=S$6) * ('기록'!$C:$C=""남"") * (IF($A$2=""전체"", TRUE, (YEAR('기록'!$A:$A)&amp;"""")=$A$2)))), 0))"),0.0)</f>
        <v>0</v>
      </c>
      <c r="T35" s="47">
        <f>IFERROR(__xludf.DUMMYFUNCTION("IF(T$6="""", """", IFERROR(ROWS(FILTER('기록'!$C:$C, ('기록'!$D:$D=T$6) * ('기록'!$C:$C=""남"") * (IF($A$2=""전체"", TRUE, (YEAR('기록'!$A:$A)&amp;"""")=$A$2)))), 0))"),0.0)</f>
        <v>0</v>
      </c>
      <c r="U35" s="47">
        <f>IFERROR(__xludf.DUMMYFUNCTION("IF(U$6="""", """", IFERROR(ROWS(FILTER('기록'!$C:$C, ('기록'!$D:$D=U$6) * ('기록'!$C:$C=""남"") * (IF($A$2=""전체"", TRUE, (YEAR('기록'!$A:$A)&amp;"""")=$A$2)))), 0))"),0.0)</f>
        <v>0</v>
      </c>
      <c r="V35" s="47">
        <f>IFERROR(__xludf.DUMMYFUNCTION("IF(V$6="""", """", IFERROR(ROWS(FILTER('기록'!$C:$C, ('기록'!$D:$D=V$6) * ('기록'!$C:$C=""남"") * (IF($A$2=""전체"", TRUE, (YEAR('기록'!$A:$A)&amp;"""")=$A$2)))), 0))"),3.0)</f>
        <v>3</v>
      </c>
      <c r="W35" s="47">
        <f>IFERROR(__xludf.DUMMYFUNCTION("IF(W$6="""", """", IFERROR(ROWS(FILTER('기록'!$C:$C, ('기록'!$D:$D=W$6) * ('기록'!$C:$C=""남"") * (IF($A$2=""전체"", TRUE, (YEAR('기록'!$A:$A)&amp;"""")=$A$2)))), 0))"),0.0)</f>
        <v>0</v>
      </c>
      <c r="X35" s="47">
        <f>IFERROR(__xludf.DUMMYFUNCTION("IF(X$6="""", """", IFERROR(ROWS(FILTER('기록'!$C:$C, ('기록'!$D:$D=X$6) * ('기록'!$C:$C=""남"") * (IF($A$2=""전체"", TRUE, (YEAR('기록'!$A:$A)&amp;"""")=$A$2)))), 0))"),0.0)</f>
        <v>0</v>
      </c>
      <c r="Y35" s="47">
        <f>IFERROR(__xludf.DUMMYFUNCTION("IF(Y$6="""", """", IFERROR(ROWS(FILTER('기록'!$C:$C, ('기록'!$D:$D=Y$6) * ('기록'!$C:$C=""남"") * (IF($A$2=""전체"", TRUE, (YEAR('기록'!$A:$A)&amp;"""")=$A$2)))), 0))"),0.0)</f>
        <v>0</v>
      </c>
      <c r="Z35" s="47">
        <f>IFERROR(__xludf.DUMMYFUNCTION("IF(Z$6="""", """", IFERROR(ROWS(FILTER('기록'!$C:$C, ('기록'!$D:$D=Z$6) * ('기록'!$C:$C=""남"") * (IF($A$2=""전체"", TRUE, (YEAR('기록'!$A:$A)&amp;"""")=$A$2)))), 0))"),0.0)</f>
        <v>0</v>
      </c>
      <c r="AA35" s="47">
        <f>IFERROR(__xludf.DUMMYFUNCTION("IF(AA$6="""", """", IFERROR(ROWS(FILTER('기록'!$C:$C, ('기록'!$D:$D=AA$6) * ('기록'!$C:$C=""남"") * (IF($A$2=""전체"", TRUE, (YEAR('기록'!$A:$A)&amp;"""")=$A$2)))), 0))"),0.0)</f>
        <v>0</v>
      </c>
      <c r="AB35" s="47">
        <f>IFERROR(__xludf.DUMMYFUNCTION("IF(AB$6="""", """", IFERROR(ROWS(FILTER('기록'!$C:$C, ('기록'!$D:$D=AB$6) * ('기록'!$C:$C=""남"") * (IF($A$2=""전체"", TRUE, (YEAR('기록'!$A:$A)&amp;"""")=$A$2)))), 0))"),0.0)</f>
        <v>0</v>
      </c>
      <c r="AC35" s="47">
        <f>IFERROR(__xludf.DUMMYFUNCTION("IF(AC$6="""", """", IFERROR(ROWS(FILTER('기록'!$C:$C, ('기록'!$D:$D=AC$6) * ('기록'!$C:$C=""남"") * (IF($A$2=""전체"", TRUE, (YEAR('기록'!$A:$A)&amp;"""")=$A$2)))), 0))"),4.0)</f>
        <v>4</v>
      </c>
      <c r="AD35" s="47">
        <f>IFERROR(__xludf.DUMMYFUNCTION("IF(AD$6="""", """", IFERROR(ROWS(FILTER('기록'!$C:$C, ('기록'!$D:$D=AD$6) * ('기록'!$C:$C=""남"") * (IF($A$2=""전체"", TRUE, (YEAR('기록'!$A:$A)&amp;"""")=$A$2)))), 0))"),0.0)</f>
        <v>0</v>
      </c>
      <c r="AE35" s="47">
        <f>IFERROR(__xludf.DUMMYFUNCTION("IF(AE$6="""", """", IFERROR(ROWS(FILTER('기록'!$C:$C, ('기록'!$D:$D=AE$6) * ('기록'!$C:$C=""남"") * (IF($A$2=""전체"", TRUE, (YEAR('기록'!$A:$A)&amp;"""")=$A$2)))), 0))"),0.0)</f>
        <v>0</v>
      </c>
      <c r="AF35" s="47">
        <f>IFERROR(__xludf.DUMMYFUNCTION("IF(AF$6="""", """", IFERROR(ROWS(FILTER('기록'!$C:$C, ('기록'!$D:$D=AF$6) * ('기록'!$C:$C=""남"") * (IF($A$2=""전체"", TRUE, (YEAR('기록'!$A:$A)&amp;"""")=$A$2)))), 0))"),0.0)</f>
        <v>0</v>
      </c>
      <c r="AG35" s="47">
        <f>IFERROR(__xludf.DUMMYFUNCTION("IF(AG$6="""", """", IFERROR(ROWS(FILTER('기록'!$C:$C, ('기록'!$D:$D=AG$6) * ('기록'!$C:$C=""남"") * (IF($A$2=""전체"", TRUE, (YEAR('기록'!$A:$A)&amp;"""")=$A$2)))), 0))"),1.0)</f>
        <v>1</v>
      </c>
      <c r="AH35" s="47">
        <f>IFERROR(__xludf.DUMMYFUNCTION("IF(AH$6="""", """", IFERROR(ROWS(FILTER('기록'!$C:$C, ('기록'!$D:$D=AH$6) * ('기록'!$C:$C=""남"") * (IF($A$2=""전체"", TRUE, (YEAR('기록'!$A:$A)&amp;"""")=$A$2)))), 0))"),3.0)</f>
        <v>3</v>
      </c>
      <c r="AI35" s="47">
        <f>IFERROR(__xludf.DUMMYFUNCTION("IF(AI$6="""", """", IFERROR(ROWS(FILTER('기록'!$C:$C, ('기록'!$D:$D=AI$6) * ('기록'!$C:$C=""남"") * (IF($A$2=""전체"", TRUE, (YEAR('기록'!$A:$A)&amp;"""")=$A$2)))), 0))"),0.0)</f>
        <v>0</v>
      </c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</row>
    <row r="36">
      <c r="A36" s="15"/>
      <c r="B36" s="48" t="s">
        <v>89</v>
      </c>
      <c r="C36" s="47">
        <f>IFERROR(__xludf.DUMMYFUNCTION("IF(C$6="""", """", IFERROR(ROWS(FILTER('기록'!$C:$C, ('기록'!$D:$D=C$6) * ('기록'!$C:$C=""서"") * (IF($A$2=""전체"", TRUE, (YEAR('기록'!$A:$A)&amp;"""")=$A$2)))), 0))"),10.0)</f>
        <v>10</v>
      </c>
      <c r="D36" s="47">
        <f>IFERROR(__xludf.DUMMYFUNCTION("IF(D$6="""", """", IFERROR(ROWS(FILTER('기록'!$C:$C, ('기록'!$D:$D=D$6) * ('기록'!$C:$C=""서"") * (IF($A$2=""전체"", TRUE, (YEAR('기록'!$A:$A)&amp;"""")=$A$2)))), 0))"),8.0)</f>
        <v>8</v>
      </c>
      <c r="E36" s="47">
        <f>IFERROR(__xludf.DUMMYFUNCTION("IF(E$6="""", """", IFERROR(ROWS(FILTER('기록'!$C:$C, ('기록'!$D:$D=E$6) * ('기록'!$C:$C=""서"") * (IF($A$2=""전체"", TRUE, (YEAR('기록'!$A:$A)&amp;"""")=$A$2)))), 0))"),3.0)</f>
        <v>3</v>
      </c>
      <c r="F36" s="47">
        <f>IFERROR(__xludf.DUMMYFUNCTION("IF(F$6="""", """", IFERROR(ROWS(FILTER('기록'!$C:$C, ('기록'!$D:$D=F$6) * ('기록'!$C:$C=""서"") * (IF($A$2=""전체"", TRUE, (YEAR('기록'!$A:$A)&amp;"""")=$A$2)))), 0))"),9.0)</f>
        <v>9</v>
      </c>
      <c r="G36" s="47">
        <f>IFERROR(__xludf.DUMMYFUNCTION("IF(G$6="""", """", IFERROR(ROWS(FILTER('기록'!$C:$C, ('기록'!$D:$D=G$6) * ('기록'!$C:$C=""서"") * (IF($A$2=""전체"", TRUE, (YEAR('기록'!$A:$A)&amp;"""")=$A$2)))), 0))"),4.0)</f>
        <v>4</v>
      </c>
      <c r="H36" s="47">
        <f>IFERROR(__xludf.DUMMYFUNCTION("IF(H$6="""", """", IFERROR(ROWS(FILTER('기록'!$C:$C, ('기록'!$D:$D=H$6) * ('기록'!$C:$C=""서"") * (IF($A$2=""전체"", TRUE, (YEAR('기록'!$A:$A)&amp;"""")=$A$2)))), 0))"),4.0)</f>
        <v>4</v>
      </c>
      <c r="I36" s="47">
        <f>IFERROR(__xludf.DUMMYFUNCTION("IF(I$6="""", """", IFERROR(ROWS(FILTER('기록'!$C:$C, ('기록'!$D:$D=I$6) * ('기록'!$C:$C=""서"") * (IF($A$2=""전체"", TRUE, (YEAR('기록'!$A:$A)&amp;"""")=$A$2)))), 0))"),2.0)</f>
        <v>2</v>
      </c>
      <c r="J36" s="47">
        <f>IFERROR(__xludf.DUMMYFUNCTION("IF(J$6="""", """", IFERROR(ROWS(FILTER('기록'!$C:$C, ('기록'!$D:$D=J$6) * ('기록'!$C:$C=""서"") * (IF($A$2=""전체"", TRUE, (YEAR('기록'!$A:$A)&amp;"""")=$A$2)))), 0))"),0.0)</f>
        <v>0</v>
      </c>
      <c r="K36" s="47">
        <f>IFERROR(__xludf.DUMMYFUNCTION("IF(K$6="""", """", IFERROR(ROWS(FILTER('기록'!$C:$C, ('기록'!$D:$D=K$6) * ('기록'!$C:$C=""서"") * (IF($A$2=""전체"", TRUE, (YEAR('기록'!$A:$A)&amp;"""")=$A$2)))), 0))"),2.0)</f>
        <v>2</v>
      </c>
      <c r="L36" s="47">
        <f>IFERROR(__xludf.DUMMYFUNCTION("IF(L$6="""", """", IFERROR(ROWS(FILTER('기록'!$C:$C, ('기록'!$D:$D=L$6) * ('기록'!$C:$C=""서"") * (IF($A$2=""전체"", TRUE, (YEAR('기록'!$A:$A)&amp;"""")=$A$2)))), 0))"),5.0)</f>
        <v>5</v>
      </c>
      <c r="M36" s="47">
        <f>IFERROR(__xludf.DUMMYFUNCTION("IF(M$6="""", """", IFERROR(ROWS(FILTER('기록'!$C:$C, ('기록'!$D:$D=M$6) * ('기록'!$C:$C=""서"") * (IF($A$2=""전체"", TRUE, (YEAR('기록'!$A:$A)&amp;"""")=$A$2)))), 0))"),3.0)</f>
        <v>3</v>
      </c>
      <c r="N36" s="47">
        <f>IFERROR(__xludf.DUMMYFUNCTION("IF(N$6="""", """", IFERROR(ROWS(FILTER('기록'!$C:$C, ('기록'!$D:$D=N$6) * ('기록'!$C:$C=""서"") * (IF($A$2=""전체"", TRUE, (YEAR('기록'!$A:$A)&amp;"""")=$A$2)))), 0))"),0.0)</f>
        <v>0</v>
      </c>
      <c r="O36" s="47">
        <f>IFERROR(__xludf.DUMMYFUNCTION("IF(O$6="""", """", IFERROR(ROWS(FILTER('기록'!$C:$C, ('기록'!$D:$D=O$6) * ('기록'!$C:$C=""서"") * (IF($A$2=""전체"", TRUE, (YEAR('기록'!$A:$A)&amp;"""")=$A$2)))), 0))"),1.0)</f>
        <v>1</v>
      </c>
      <c r="P36" s="47">
        <f>IFERROR(__xludf.DUMMYFUNCTION("IF(P$6="""", """", IFERROR(ROWS(FILTER('기록'!$C:$C, ('기록'!$D:$D=P$6) * ('기록'!$C:$C=""서"") * (IF($A$2=""전체"", TRUE, (YEAR('기록'!$A:$A)&amp;"""")=$A$2)))), 0))"),0.0)</f>
        <v>0</v>
      </c>
      <c r="Q36" s="47">
        <f>IFERROR(__xludf.DUMMYFUNCTION("IF(Q$6="""", """", IFERROR(ROWS(FILTER('기록'!$C:$C, ('기록'!$D:$D=Q$6) * ('기록'!$C:$C=""서"") * (IF($A$2=""전체"", TRUE, (YEAR('기록'!$A:$A)&amp;"""")=$A$2)))), 0))"),0.0)</f>
        <v>0</v>
      </c>
      <c r="R36" s="47">
        <f>IFERROR(__xludf.DUMMYFUNCTION("IF(R$6="""", """", IFERROR(ROWS(FILTER('기록'!$C:$C, ('기록'!$D:$D=R$6) * ('기록'!$C:$C=""서"") * (IF($A$2=""전체"", TRUE, (YEAR('기록'!$A:$A)&amp;"""")=$A$2)))), 0))"),0.0)</f>
        <v>0</v>
      </c>
      <c r="S36" s="47">
        <f>IFERROR(__xludf.DUMMYFUNCTION("IF(S$6="""", """", IFERROR(ROWS(FILTER('기록'!$C:$C, ('기록'!$D:$D=S$6) * ('기록'!$C:$C=""서"") * (IF($A$2=""전체"", TRUE, (YEAR('기록'!$A:$A)&amp;"""")=$A$2)))), 0))"),0.0)</f>
        <v>0</v>
      </c>
      <c r="T36" s="47">
        <f>IFERROR(__xludf.DUMMYFUNCTION("IF(T$6="""", """", IFERROR(ROWS(FILTER('기록'!$C:$C, ('기록'!$D:$D=T$6) * ('기록'!$C:$C=""서"") * (IF($A$2=""전체"", TRUE, (YEAR('기록'!$A:$A)&amp;"""")=$A$2)))), 0))"),0.0)</f>
        <v>0</v>
      </c>
      <c r="U36" s="47">
        <f>IFERROR(__xludf.DUMMYFUNCTION("IF(U$6="""", """", IFERROR(ROWS(FILTER('기록'!$C:$C, ('기록'!$D:$D=U$6) * ('기록'!$C:$C=""서"") * (IF($A$2=""전체"", TRUE, (YEAR('기록'!$A:$A)&amp;"""")=$A$2)))), 0))"),0.0)</f>
        <v>0</v>
      </c>
      <c r="V36" s="47">
        <f>IFERROR(__xludf.DUMMYFUNCTION("IF(V$6="""", """", IFERROR(ROWS(FILTER('기록'!$C:$C, ('기록'!$D:$D=V$6) * ('기록'!$C:$C=""서"") * (IF($A$2=""전체"", TRUE, (YEAR('기록'!$A:$A)&amp;"""")=$A$2)))), 0))"),4.0)</f>
        <v>4</v>
      </c>
      <c r="W36" s="47">
        <f>IFERROR(__xludf.DUMMYFUNCTION("IF(W$6="""", """", IFERROR(ROWS(FILTER('기록'!$C:$C, ('기록'!$D:$D=W$6) * ('기록'!$C:$C=""서"") * (IF($A$2=""전체"", TRUE, (YEAR('기록'!$A:$A)&amp;"""")=$A$2)))), 0))"),0.0)</f>
        <v>0</v>
      </c>
      <c r="X36" s="47">
        <f>IFERROR(__xludf.DUMMYFUNCTION("IF(X$6="""", """", IFERROR(ROWS(FILTER('기록'!$C:$C, ('기록'!$D:$D=X$6) * ('기록'!$C:$C=""서"") * (IF($A$2=""전체"", TRUE, (YEAR('기록'!$A:$A)&amp;"""")=$A$2)))), 0))"),0.0)</f>
        <v>0</v>
      </c>
      <c r="Y36" s="47">
        <f>IFERROR(__xludf.DUMMYFUNCTION("IF(Y$6="""", """", IFERROR(ROWS(FILTER('기록'!$C:$C, ('기록'!$D:$D=Y$6) * ('기록'!$C:$C=""서"") * (IF($A$2=""전체"", TRUE, (YEAR('기록'!$A:$A)&amp;"""")=$A$2)))), 0))"),0.0)</f>
        <v>0</v>
      </c>
      <c r="Z36" s="47">
        <f>IFERROR(__xludf.DUMMYFUNCTION("IF(Z$6="""", """", IFERROR(ROWS(FILTER('기록'!$C:$C, ('기록'!$D:$D=Z$6) * ('기록'!$C:$C=""서"") * (IF($A$2=""전체"", TRUE, (YEAR('기록'!$A:$A)&amp;"""")=$A$2)))), 0))"),0.0)</f>
        <v>0</v>
      </c>
      <c r="AA36" s="47">
        <f>IFERROR(__xludf.DUMMYFUNCTION("IF(AA$6="""", """", IFERROR(ROWS(FILTER('기록'!$C:$C, ('기록'!$D:$D=AA$6) * ('기록'!$C:$C=""서"") * (IF($A$2=""전체"", TRUE, (YEAR('기록'!$A:$A)&amp;"""")=$A$2)))), 0))"),0.0)</f>
        <v>0</v>
      </c>
      <c r="AB36" s="47">
        <f>IFERROR(__xludf.DUMMYFUNCTION("IF(AB$6="""", """", IFERROR(ROWS(FILTER('기록'!$C:$C, ('기록'!$D:$D=AB$6) * ('기록'!$C:$C=""서"") * (IF($A$2=""전체"", TRUE, (YEAR('기록'!$A:$A)&amp;"""")=$A$2)))), 0))"),0.0)</f>
        <v>0</v>
      </c>
      <c r="AC36" s="47">
        <f>IFERROR(__xludf.DUMMYFUNCTION("IF(AC$6="""", """", IFERROR(ROWS(FILTER('기록'!$C:$C, ('기록'!$D:$D=AC$6) * ('기록'!$C:$C=""서"") * (IF($A$2=""전체"", TRUE, (YEAR('기록'!$A:$A)&amp;"""")=$A$2)))), 0))"),4.0)</f>
        <v>4</v>
      </c>
      <c r="AD36" s="47">
        <f>IFERROR(__xludf.DUMMYFUNCTION("IF(AD$6="""", """", IFERROR(ROWS(FILTER('기록'!$C:$C, ('기록'!$D:$D=AD$6) * ('기록'!$C:$C=""서"") * (IF($A$2=""전체"", TRUE, (YEAR('기록'!$A:$A)&amp;"""")=$A$2)))), 0))"),0.0)</f>
        <v>0</v>
      </c>
      <c r="AE36" s="47">
        <f>IFERROR(__xludf.DUMMYFUNCTION("IF(AE$6="""", """", IFERROR(ROWS(FILTER('기록'!$C:$C, ('기록'!$D:$D=AE$6) * ('기록'!$C:$C=""서"") * (IF($A$2=""전체"", TRUE, (YEAR('기록'!$A:$A)&amp;"""")=$A$2)))), 0))"),0.0)</f>
        <v>0</v>
      </c>
      <c r="AF36" s="47">
        <f>IFERROR(__xludf.DUMMYFUNCTION("IF(AF$6="""", """", IFERROR(ROWS(FILTER('기록'!$C:$C, ('기록'!$D:$D=AF$6) * ('기록'!$C:$C=""서"") * (IF($A$2=""전체"", TRUE, (YEAR('기록'!$A:$A)&amp;"""")=$A$2)))), 0))"),0.0)</f>
        <v>0</v>
      </c>
      <c r="AG36" s="47">
        <f>IFERROR(__xludf.DUMMYFUNCTION("IF(AG$6="""", """", IFERROR(ROWS(FILTER('기록'!$C:$C, ('기록'!$D:$D=AG$6) * ('기록'!$C:$C=""서"") * (IF($A$2=""전체"", TRUE, (YEAR('기록'!$A:$A)&amp;"""")=$A$2)))), 0))"),2.0)</f>
        <v>2</v>
      </c>
      <c r="AH36" s="47">
        <f>IFERROR(__xludf.DUMMYFUNCTION("IF(AH$6="""", """", IFERROR(ROWS(FILTER('기록'!$C:$C, ('기록'!$D:$D=AH$6) * ('기록'!$C:$C=""서"") * (IF($A$2=""전체"", TRUE, (YEAR('기록'!$A:$A)&amp;"""")=$A$2)))), 0))"),2.0)</f>
        <v>2</v>
      </c>
      <c r="AI36" s="47">
        <f>IFERROR(__xludf.DUMMYFUNCTION("IF(AI$6="""", """", IFERROR(ROWS(FILTER('기록'!$C:$C, ('기록'!$D:$D=AI$6) * ('기록'!$C:$C=""서"") * (IF($A$2=""전체"", TRUE, (YEAR('기록'!$A:$A)&amp;"""")=$A$2)))), 0))"),3.0)</f>
        <v>3</v>
      </c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>
      <c r="A37" s="15"/>
      <c r="B37" s="48" t="s">
        <v>90</v>
      </c>
      <c r="C37" s="47">
        <f>IFERROR(__xludf.DUMMYFUNCTION("IF(C$6="""", """", IFERROR(ROWS(FILTER('기록'!$C:$C, ('기록'!$D:$D=C$6) * ('기록'!$C:$C=""북"") * (IF($A$2=""전체"", TRUE, (YEAR('기록'!$A:$A)&amp;"""")=$A$2)))), 0))"),2.0)</f>
        <v>2</v>
      </c>
      <c r="D37" s="47">
        <f>IFERROR(__xludf.DUMMYFUNCTION("IF(D$6="""", """", IFERROR(ROWS(FILTER('기록'!$C:$C, ('기록'!$D:$D=D$6) * ('기록'!$C:$C=""북"") * (IF($A$2=""전체"", TRUE, (YEAR('기록'!$A:$A)&amp;"""")=$A$2)))), 0))"),17.0)</f>
        <v>17</v>
      </c>
      <c r="E37" s="47">
        <f>IFERROR(__xludf.DUMMYFUNCTION("IF(E$6="""", """", IFERROR(ROWS(FILTER('기록'!$C:$C, ('기록'!$D:$D=E$6) * ('기록'!$C:$C=""북"") * (IF($A$2=""전체"", TRUE, (YEAR('기록'!$A:$A)&amp;"""")=$A$2)))), 0))"),8.0)</f>
        <v>8</v>
      </c>
      <c r="F37" s="47">
        <f>IFERROR(__xludf.DUMMYFUNCTION("IF(F$6="""", """", IFERROR(ROWS(FILTER('기록'!$C:$C, ('기록'!$D:$D=F$6) * ('기록'!$C:$C=""북"") * (IF($A$2=""전체"", TRUE, (YEAR('기록'!$A:$A)&amp;"""")=$A$2)))), 0))"),5.0)</f>
        <v>5</v>
      </c>
      <c r="G37" s="47">
        <f>IFERROR(__xludf.DUMMYFUNCTION("IF(G$6="""", """", IFERROR(ROWS(FILTER('기록'!$C:$C, ('기록'!$D:$D=G$6) * ('기록'!$C:$C=""북"") * (IF($A$2=""전체"", TRUE, (YEAR('기록'!$A:$A)&amp;"""")=$A$2)))), 0))"),5.0)</f>
        <v>5</v>
      </c>
      <c r="H37" s="47">
        <f>IFERROR(__xludf.DUMMYFUNCTION("IF(H$6="""", """", IFERROR(ROWS(FILTER('기록'!$C:$C, ('기록'!$D:$D=H$6) * ('기록'!$C:$C=""북"") * (IF($A$2=""전체"", TRUE, (YEAR('기록'!$A:$A)&amp;"""")=$A$2)))), 0))"),0.0)</f>
        <v>0</v>
      </c>
      <c r="I37" s="47">
        <f>IFERROR(__xludf.DUMMYFUNCTION("IF(I$6="""", """", IFERROR(ROWS(FILTER('기록'!$C:$C, ('기록'!$D:$D=I$6) * ('기록'!$C:$C=""북"") * (IF($A$2=""전체"", TRUE, (YEAR('기록'!$A:$A)&amp;"""")=$A$2)))), 0))"),1.0)</f>
        <v>1</v>
      </c>
      <c r="J37" s="47">
        <f>IFERROR(__xludf.DUMMYFUNCTION("IF(J$6="""", """", IFERROR(ROWS(FILTER('기록'!$C:$C, ('기록'!$D:$D=J$6) * ('기록'!$C:$C=""북"") * (IF($A$2=""전체"", TRUE, (YEAR('기록'!$A:$A)&amp;"""")=$A$2)))), 0))"),0.0)</f>
        <v>0</v>
      </c>
      <c r="K37" s="47">
        <f>IFERROR(__xludf.DUMMYFUNCTION("IF(K$6="""", """", IFERROR(ROWS(FILTER('기록'!$C:$C, ('기록'!$D:$D=K$6) * ('기록'!$C:$C=""북"") * (IF($A$2=""전체"", TRUE, (YEAR('기록'!$A:$A)&amp;"""")=$A$2)))), 0))"),2.0)</f>
        <v>2</v>
      </c>
      <c r="L37" s="47">
        <f>IFERROR(__xludf.DUMMYFUNCTION("IF(L$6="""", """", IFERROR(ROWS(FILTER('기록'!$C:$C, ('기록'!$D:$D=L$6) * ('기록'!$C:$C=""북"") * (IF($A$2=""전체"", TRUE, (YEAR('기록'!$A:$A)&amp;"""")=$A$2)))), 0))"),3.0)</f>
        <v>3</v>
      </c>
      <c r="M37" s="47">
        <f>IFERROR(__xludf.DUMMYFUNCTION("IF(M$6="""", """", IFERROR(ROWS(FILTER('기록'!$C:$C, ('기록'!$D:$D=M$6) * ('기록'!$C:$C=""북"") * (IF($A$2=""전체"", TRUE, (YEAR('기록'!$A:$A)&amp;"""")=$A$2)))), 0))"),13.0)</f>
        <v>13</v>
      </c>
      <c r="N37" s="47">
        <f>IFERROR(__xludf.DUMMYFUNCTION("IF(N$6="""", """", IFERROR(ROWS(FILTER('기록'!$C:$C, ('기록'!$D:$D=N$6) * ('기록'!$C:$C=""북"") * (IF($A$2=""전체"", TRUE, (YEAR('기록'!$A:$A)&amp;"""")=$A$2)))), 0))"),0.0)</f>
        <v>0</v>
      </c>
      <c r="O37" s="47">
        <f>IFERROR(__xludf.DUMMYFUNCTION("IF(O$6="""", """", IFERROR(ROWS(FILTER('기록'!$C:$C, ('기록'!$D:$D=O$6) * ('기록'!$C:$C=""북"") * (IF($A$2=""전체"", TRUE, (YEAR('기록'!$A:$A)&amp;"""")=$A$2)))), 0))"),1.0)</f>
        <v>1</v>
      </c>
      <c r="P37" s="47">
        <f>IFERROR(__xludf.DUMMYFUNCTION("IF(P$6="""", """", IFERROR(ROWS(FILTER('기록'!$C:$C, ('기록'!$D:$D=P$6) * ('기록'!$C:$C=""북"") * (IF($A$2=""전체"", TRUE, (YEAR('기록'!$A:$A)&amp;"""")=$A$2)))), 0))"),0.0)</f>
        <v>0</v>
      </c>
      <c r="Q37" s="47">
        <f>IFERROR(__xludf.DUMMYFUNCTION("IF(Q$6="""", """", IFERROR(ROWS(FILTER('기록'!$C:$C, ('기록'!$D:$D=Q$6) * ('기록'!$C:$C=""북"") * (IF($A$2=""전체"", TRUE, (YEAR('기록'!$A:$A)&amp;"""")=$A$2)))), 0))"),0.0)</f>
        <v>0</v>
      </c>
      <c r="R37" s="47">
        <f>IFERROR(__xludf.DUMMYFUNCTION("IF(R$6="""", """", IFERROR(ROWS(FILTER('기록'!$C:$C, ('기록'!$D:$D=R$6) * ('기록'!$C:$C=""북"") * (IF($A$2=""전체"", TRUE, (YEAR('기록'!$A:$A)&amp;"""")=$A$2)))), 0))"),0.0)</f>
        <v>0</v>
      </c>
      <c r="S37" s="47">
        <f>IFERROR(__xludf.DUMMYFUNCTION("IF(S$6="""", """", IFERROR(ROWS(FILTER('기록'!$C:$C, ('기록'!$D:$D=S$6) * ('기록'!$C:$C=""북"") * (IF($A$2=""전체"", TRUE, (YEAR('기록'!$A:$A)&amp;"""")=$A$2)))), 0))"),0.0)</f>
        <v>0</v>
      </c>
      <c r="T37" s="47">
        <f>IFERROR(__xludf.DUMMYFUNCTION("IF(T$6="""", """", IFERROR(ROWS(FILTER('기록'!$C:$C, ('기록'!$D:$D=T$6) * ('기록'!$C:$C=""북"") * (IF($A$2=""전체"", TRUE, (YEAR('기록'!$A:$A)&amp;"""")=$A$2)))), 0))"),0.0)</f>
        <v>0</v>
      </c>
      <c r="U37" s="47">
        <f>IFERROR(__xludf.DUMMYFUNCTION("IF(U$6="""", """", IFERROR(ROWS(FILTER('기록'!$C:$C, ('기록'!$D:$D=U$6) * ('기록'!$C:$C=""북"") * (IF($A$2=""전체"", TRUE, (YEAR('기록'!$A:$A)&amp;"""")=$A$2)))), 0))"),0.0)</f>
        <v>0</v>
      </c>
      <c r="V37" s="47">
        <f>IFERROR(__xludf.DUMMYFUNCTION("IF(V$6="""", """", IFERROR(ROWS(FILTER('기록'!$C:$C, ('기록'!$D:$D=V$6) * ('기록'!$C:$C=""북"") * (IF($A$2=""전체"", TRUE, (YEAR('기록'!$A:$A)&amp;"""")=$A$2)))), 0))"),1.0)</f>
        <v>1</v>
      </c>
      <c r="W37" s="47">
        <f>IFERROR(__xludf.DUMMYFUNCTION("IF(W$6="""", """", IFERROR(ROWS(FILTER('기록'!$C:$C, ('기록'!$D:$D=W$6) * ('기록'!$C:$C=""북"") * (IF($A$2=""전체"", TRUE, (YEAR('기록'!$A:$A)&amp;"""")=$A$2)))), 0))"),0.0)</f>
        <v>0</v>
      </c>
      <c r="X37" s="47">
        <f>IFERROR(__xludf.DUMMYFUNCTION("IF(X$6="""", """", IFERROR(ROWS(FILTER('기록'!$C:$C, ('기록'!$D:$D=X$6) * ('기록'!$C:$C=""북"") * (IF($A$2=""전체"", TRUE, (YEAR('기록'!$A:$A)&amp;"""")=$A$2)))), 0))"),0.0)</f>
        <v>0</v>
      </c>
      <c r="Y37" s="47">
        <f>IFERROR(__xludf.DUMMYFUNCTION("IF(Y$6="""", """", IFERROR(ROWS(FILTER('기록'!$C:$C, ('기록'!$D:$D=Y$6) * ('기록'!$C:$C=""북"") * (IF($A$2=""전체"", TRUE, (YEAR('기록'!$A:$A)&amp;"""")=$A$2)))), 0))"),0.0)</f>
        <v>0</v>
      </c>
      <c r="Z37" s="47">
        <f>IFERROR(__xludf.DUMMYFUNCTION("IF(Z$6="""", """", IFERROR(ROWS(FILTER('기록'!$C:$C, ('기록'!$D:$D=Z$6) * ('기록'!$C:$C=""북"") * (IF($A$2=""전체"", TRUE, (YEAR('기록'!$A:$A)&amp;"""")=$A$2)))), 0))"),0.0)</f>
        <v>0</v>
      </c>
      <c r="AA37" s="47">
        <f>IFERROR(__xludf.DUMMYFUNCTION("IF(AA$6="""", """", IFERROR(ROWS(FILTER('기록'!$C:$C, ('기록'!$D:$D=AA$6) * ('기록'!$C:$C=""북"") * (IF($A$2=""전체"", TRUE, (YEAR('기록'!$A:$A)&amp;"""")=$A$2)))), 0))"),0.0)</f>
        <v>0</v>
      </c>
      <c r="AB37" s="47">
        <f>IFERROR(__xludf.DUMMYFUNCTION("IF(AB$6="""", """", IFERROR(ROWS(FILTER('기록'!$C:$C, ('기록'!$D:$D=AB$6) * ('기록'!$C:$C=""북"") * (IF($A$2=""전체"", TRUE, (YEAR('기록'!$A:$A)&amp;"""")=$A$2)))), 0))"),0.0)</f>
        <v>0</v>
      </c>
      <c r="AC37" s="47">
        <f>IFERROR(__xludf.DUMMYFUNCTION("IF(AC$6="""", """", IFERROR(ROWS(FILTER('기록'!$C:$C, ('기록'!$D:$D=AC$6) * ('기록'!$C:$C=""북"") * (IF($A$2=""전체"", TRUE, (YEAR('기록'!$A:$A)&amp;"""")=$A$2)))), 0))"),0.0)</f>
        <v>0</v>
      </c>
      <c r="AD37" s="47">
        <f>IFERROR(__xludf.DUMMYFUNCTION("IF(AD$6="""", """", IFERROR(ROWS(FILTER('기록'!$C:$C, ('기록'!$D:$D=AD$6) * ('기록'!$C:$C=""북"") * (IF($A$2=""전체"", TRUE, (YEAR('기록'!$A:$A)&amp;"""")=$A$2)))), 0))"),0.0)</f>
        <v>0</v>
      </c>
      <c r="AE37" s="47">
        <f>IFERROR(__xludf.DUMMYFUNCTION("IF(AE$6="""", """", IFERROR(ROWS(FILTER('기록'!$C:$C, ('기록'!$D:$D=AE$6) * ('기록'!$C:$C=""북"") * (IF($A$2=""전체"", TRUE, (YEAR('기록'!$A:$A)&amp;"""")=$A$2)))), 0))"),0.0)</f>
        <v>0</v>
      </c>
      <c r="AF37" s="47">
        <f>IFERROR(__xludf.DUMMYFUNCTION("IF(AF$6="""", """", IFERROR(ROWS(FILTER('기록'!$C:$C, ('기록'!$D:$D=AF$6) * ('기록'!$C:$C=""북"") * (IF($A$2=""전체"", TRUE, (YEAR('기록'!$A:$A)&amp;"""")=$A$2)))), 0))"),0.0)</f>
        <v>0</v>
      </c>
      <c r="AG37" s="47">
        <f>IFERROR(__xludf.DUMMYFUNCTION("IF(AG$6="""", """", IFERROR(ROWS(FILTER('기록'!$C:$C, ('기록'!$D:$D=AG$6) * ('기록'!$C:$C=""북"") * (IF($A$2=""전체"", TRUE, (YEAR('기록'!$A:$A)&amp;"""")=$A$2)))), 0))"),3.0)</f>
        <v>3</v>
      </c>
      <c r="AH37" s="47">
        <f>IFERROR(__xludf.DUMMYFUNCTION("IF(AH$6="""", """", IFERROR(ROWS(FILTER('기록'!$C:$C, ('기록'!$D:$D=AH$6) * ('기록'!$C:$C=""북"") * (IF($A$2=""전체"", TRUE, (YEAR('기록'!$A:$A)&amp;"""")=$A$2)))), 0))"),4.0)</f>
        <v>4</v>
      </c>
      <c r="AI37" s="47">
        <f>IFERROR(__xludf.DUMMYFUNCTION("IF(AI$6="""", """", IFERROR(ROWS(FILTER('기록'!$C:$C, ('기록'!$D:$D=AI$6) * ('기록'!$C:$C=""북"") * (IF($A$2=""전체"", TRUE, (YEAR('기록'!$A:$A)&amp;"""")=$A$2)))), 0))"),1.0)</f>
        <v>1</v>
      </c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>
      <c r="A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>
      <c r="A46" s="51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>
      <c r="A47" s="51"/>
      <c r="B47" s="3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>
      <c r="A48" s="51"/>
      <c r="B48" s="3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>
      <c r="A49" s="51"/>
      <c r="B49" s="3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>
      <c r="A50" s="51"/>
      <c r="B50" s="3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>
      <c r="A51" s="51"/>
      <c r="B51" s="3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>
      <c r="A52" s="51"/>
      <c r="B52" s="3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>
      <c r="A53" s="51"/>
      <c r="B53" s="38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>
      <c r="A54" s="51"/>
      <c r="B54" s="41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</row>
    <row r="55">
      <c r="A55" s="51"/>
      <c r="B55" s="41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</row>
    <row r="56">
      <c r="A56" s="51"/>
      <c r="B56" s="41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</row>
    <row r="57">
      <c r="A57" s="51"/>
      <c r="B57" s="4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</row>
    <row r="58">
      <c r="A58" s="51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</row>
    <row r="59">
      <c r="A59" s="51"/>
      <c r="B59" s="4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</row>
    <row r="60">
      <c r="A60" s="51"/>
      <c r="B60" s="38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</row>
    <row r="61">
      <c r="A61" s="51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</row>
    <row r="62">
      <c r="A62" s="51"/>
      <c r="B62" s="48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</row>
    <row r="63">
      <c r="A63" s="51"/>
      <c r="B63" s="48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</row>
    <row r="64">
      <c r="A64" s="51"/>
      <c r="B64" s="48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</row>
    <row r="65">
      <c r="A65" s="51"/>
      <c r="B65" s="48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</row>
    <row r="66">
      <c r="A66" s="51"/>
      <c r="B66" s="48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</row>
    <row r="67">
      <c r="A67" s="51"/>
      <c r="B67" s="48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</row>
    <row r="68">
      <c r="A68" s="51"/>
      <c r="B68" s="51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</row>
    <row r="69">
      <c r="A69" s="51"/>
      <c r="B69" s="5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</row>
    <row r="70">
      <c r="A70" s="51"/>
      <c r="B70" s="5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</row>
    <row r="71">
      <c r="A71" s="51"/>
      <c r="B71" s="5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</row>
    <row r="72">
      <c r="A72" s="51"/>
      <c r="B72" s="5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</row>
  </sheetData>
  <mergeCells count="1">
    <mergeCell ref="A8:A17"/>
  </mergeCells>
  <conditionalFormatting sqref="C19:AI19">
    <cfRule type="cellIs" dxfId="2" priority="1" operator="greaterThanOrEqual">
      <formula>0</formula>
    </cfRule>
  </conditionalFormatting>
  <conditionalFormatting sqref="C19:AI19">
    <cfRule type="cellIs" dxfId="3" priority="2" operator="lessThan">
      <formula>0</formula>
    </cfRule>
  </conditionalFormatting>
  <dataValidations>
    <dataValidation type="list" allowBlank="1" showErrorMessage="1" sqref="A2">
      <formula1>"전체,2025,2026"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9" max="9" width="18.75"/>
  </cols>
  <sheetData>
    <row r="1">
      <c r="A1" s="52" t="str">
        <f>'통계'!A2</f>
        <v>2026</v>
      </c>
      <c r="B1" s="15"/>
      <c r="C1" s="15"/>
      <c r="D1" s="15"/>
      <c r="E1" s="53">
        <v>10.0</v>
      </c>
      <c r="F1" s="51" t="s">
        <v>91</v>
      </c>
      <c r="G1" s="54" t="s">
        <v>92</v>
      </c>
      <c r="I1" s="54"/>
      <c r="J1" s="51"/>
      <c r="K1" s="51"/>
      <c r="L1" s="15"/>
      <c r="M1" s="15"/>
      <c r="N1" s="15"/>
      <c r="O1" s="55" t="s">
        <v>93</v>
      </c>
      <c r="P1" s="56" t="s">
        <v>6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57" t="s">
        <v>94</v>
      </c>
      <c r="B2" s="56" t="s">
        <v>95</v>
      </c>
      <c r="C2" s="58" t="s">
        <v>96</v>
      </c>
      <c r="D2" s="59"/>
      <c r="E2" s="60" t="s">
        <v>97</v>
      </c>
      <c r="F2" s="59"/>
      <c r="G2" s="60" t="s">
        <v>98</v>
      </c>
      <c r="H2" s="59"/>
      <c r="I2" s="15"/>
      <c r="J2" s="51"/>
      <c r="K2" s="51"/>
      <c r="L2" s="51"/>
      <c r="M2" s="51"/>
      <c r="N2" s="51"/>
      <c r="O2" s="61"/>
      <c r="P2" s="56" t="s">
        <v>9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62" t="s">
        <v>99</v>
      </c>
      <c r="B3" s="56" t="s">
        <v>100</v>
      </c>
      <c r="C3" s="63" t="str">
        <f>IFERROR(__xludf.DUMMYFUNCTION("IFERROR(INDEX(SORT(TRANSPOSE(FILTER({'통계'!$C$6:AA$6; '통계'!$C$7:AA$7}, '통계'!$C$7:AA$7&gt;=$E$1)), 2, FALSE), 1, 1), ""-"")"),"댕댕")</f>
        <v>댕댕</v>
      </c>
      <c r="D3" s="64">
        <f>IFERROR(__xludf.DUMMYFUNCTION("IFERROR(INDEX(SORT(TRANSPOSE(FILTER({'통계'!$C$6:AA$6; '통계'!$C$7:AA$7}, '통계'!$C$7:AA$7&gt;=$E$1)), 2, FALSE), 1, 2), ""-"")"),48.0)</f>
        <v>48</v>
      </c>
      <c r="E3" s="65" t="str">
        <f>IFERROR(__xludf.DUMMYFUNCTION("IFERROR(INDEX(SORT(TRANSPOSE(FILTER({'통계'!$C$6:AA$6; '통계'!$C$7:AA$7}, '통계'!$C$7:AA$7&gt;=$E$1)), 2, FALSE), 2, 1), ""-"")"),"라비")</f>
        <v>라비</v>
      </c>
      <c r="F3" s="64">
        <f>IFERROR(__xludf.DUMMYFUNCTION("IFERROR(INDEX(SORT(TRANSPOSE(FILTER({'통계'!$C$6:AA$6; '통계'!$C$7:AA$7}, '통계'!$C$7:AA$7&gt;=$E$1)), 2, FALSE), 2, 2), ""-"")"),37.0)</f>
        <v>37</v>
      </c>
      <c r="G3" s="66" t="str">
        <f>IFERROR(__xludf.DUMMYFUNCTION("IFERROR(INDEX(SORT(TRANSPOSE(FILTER({'통계'!$C$6:AA$6; '통계'!$C$7:AA$7}, '통계'!$C$7:AA$7&gt;=$E$1)), 2, FALSE), 3, 1), ""-"")"),"절미")</f>
        <v>절미</v>
      </c>
      <c r="H3" s="67">
        <f>IFERROR(__xludf.DUMMYFUNCTION("IFERROR(INDEX(SORT(TRANSPOSE(FILTER({'통계'!$C$6:AA$6; '통계'!$C$7:AA$7}, '통계'!$C$7:AA$7&gt;=$E$1)), 2, FALSE), 3, 2), ""-"")"),28.0)</f>
        <v>28</v>
      </c>
      <c r="I3" s="15"/>
      <c r="J3" s="15"/>
      <c r="K3" s="15"/>
      <c r="L3" s="15"/>
      <c r="M3" s="15"/>
      <c r="N3" s="15"/>
      <c r="O3" s="61"/>
      <c r="P3" s="56" t="s">
        <v>10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62" t="s">
        <v>101</v>
      </c>
      <c r="B4" s="56" t="s">
        <v>66</v>
      </c>
      <c r="C4" s="63" t="str">
        <f>IFERROR(__xludf.DUMMYFUNCTION("IFERROR(INDEX(SORT(TRANSPOSE(FILTER({'통계'!$C$6:AA$6; '통계'!$C$19:AA$19; '통계'!$C$7:AA$7}, '통계'!$C$7:AA$7&gt;=$E$1)), 2, FALSE, 3, FALSE), 1, 1), ""-"")"),"댕댕")</f>
        <v>댕댕</v>
      </c>
      <c r="D4" s="68">
        <f>IFERROR(__xludf.DUMMYFUNCTION("IFERROR(INDEX(SORT(TRANSPOSE(FILTER({'통계'!$C$6:AA$6; '통계'!$C$19:AA$19; '통계'!$C$7:AA$7}, '통계'!$C$7:AA$7&gt;=$E$1)), 2, FALSE, 3, FALSE), 1, 2), ""-"")"),421.09999999999985)</f>
        <v>421.1</v>
      </c>
      <c r="E4" s="65" t="str">
        <f>IFERROR(__xludf.DUMMYFUNCTION("IFERROR(INDEX(SORT(TRANSPOSE(FILTER({'통계'!$C$6:AA$6; '통계'!$C$19:AA$19; '통계'!$C$7:AA$7}, '통계'!$C$7:AA$7&gt;=$E$1)), 2, FALSE, 3, FALSE), 2, 1), ""-"")"),"라비")</f>
        <v>라비</v>
      </c>
      <c r="F4" s="68">
        <f>IFERROR(__xludf.DUMMYFUNCTION("IFERROR(INDEX(SORT(TRANSPOSE(FILTER({'통계'!$C$6:AA$6; '통계'!$C$19:AA$19; '통계'!$C$7:AA$7}, '통계'!$C$7:AA$7&gt;=$E$1)), 2, FALSE, 3, FALSE), 2, 2), ""-"")"),376.0)</f>
        <v>376</v>
      </c>
      <c r="G4" s="66" t="str">
        <f>IFERROR(__xludf.DUMMYFUNCTION("IFERROR(INDEX(SORT(TRANSPOSE(FILTER({'통계'!$C$6:AA$6; '통계'!$C$19:AA$19; '통계'!$C$7:AA$7}, '통계'!$C$7:AA$7&gt;=$E$1)), 2, FALSE, 3, FALSE), 3, 1), ""-"")"),"나방")</f>
        <v>나방</v>
      </c>
      <c r="H4" s="67">
        <f>IFERROR(__xludf.DUMMYFUNCTION("IFERROR(INDEX(SORT(TRANSPOSE(FILTER({'통계'!$C$6:AA$6; '통계'!$C$19:AA$19; '통계'!$C$7:AA$7}, '통계'!$C$7:AA$7&gt;=$E$1)), 2, FALSE, 3, FALSE), 3, 2), ""-"")"),258.5)</f>
        <v>258.5</v>
      </c>
      <c r="I4" s="15"/>
      <c r="J4" s="15"/>
      <c r="K4" s="15"/>
      <c r="L4" s="15"/>
      <c r="M4" s="15"/>
      <c r="N4" s="15"/>
      <c r="O4" s="69"/>
      <c r="P4" s="56" t="s">
        <v>14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62" t="s">
        <v>102</v>
      </c>
      <c r="B5" s="56" t="s">
        <v>65</v>
      </c>
      <c r="C5" s="63" t="str">
        <f>IFERROR(__xludf.DUMMYFUNCTION("IFERROR(INDEX(SORT(TRANSPOSE(FILTER({'통계'!$C$6:AA$6; '통계'!$C$20:AA$20; '통계'!$C$7:AA$7}, '통계'!$C$7:AA$7&gt;=$E$1)), 2, FALSE, 3, FALSE), 1, 1), ""-"")"),"나방")</f>
        <v>나방</v>
      </c>
      <c r="D5" s="70">
        <f>IFERROR(__xludf.DUMMYFUNCTION("IFERROR(INDEX(SORT(TRANSPOSE(FILTER({'통계'!$C$6:AA$6; '통계'!$C$20:AA$20; '통계'!$C$7:AA$7}, '통계'!$C$7:AA$7&gt;=$E$1)), 2, FALSE, 3, FALSE), 1, 2), ""-"")"),15.205882352941176)</f>
        <v>15.20588235</v>
      </c>
      <c r="E5" s="65" t="str">
        <f>IFERROR(__xludf.DUMMYFUNCTION("IFERROR(INDEX(SORT(TRANSPOSE(FILTER({'통계'!$C$6:AA$6; '통계'!$C$20:AA$20; '통계'!$C$7:AA$7}, '통계'!$C$7:AA$7&gt;=$E$1)), 2, FALSE, 3, FALSE), 2, 1), ""-"")"),"라비")</f>
        <v>라비</v>
      </c>
      <c r="F5" s="70">
        <f>IFERROR(__xludf.DUMMYFUNCTION("IFERROR(INDEX(SORT(TRANSPOSE(FILTER({'통계'!$C$6:AA$6; '통계'!$C$20:AA$20; '통계'!$C$7:AA$7}, '통계'!$C$7:AA$7&gt;=$E$1)), 2, FALSE, 3, FALSE), 2, 2), ""-"")"),10.162162162162161)</f>
        <v>10.16216216</v>
      </c>
      <c r="G5" s="66" t="str">
        <f>IFERROR(__xludf.DUMMYFUNCTION("IFERROR(INDEX(SORT(TRANSPOSE(FILTER({'통계'!$C$6:AA$6; '통계'!$C$20:AA$20; '통계'!$C$7:AA$7}, '통계'!$C$7:AA$7&gt;=$E$1)), 2, FALSE, 3, FALSE), 3, 1), ""-"")"),"댕댕")</f>
        <v>댕댕</v>
      </c>
      <c r="H5" s="70">
        <f>IFERROR(__xludf.DUMMYFUNCTION("IFERROR(INDEX(SORT(TRANSPOSE(FILTER({'통계'!$C$6:AA$6; '통계'!$C$20:AA$20; '통계'!$C$7:AA$7}, '통계'!$C$7:AA$7&gt;=$E$1)), 2, FALSE, 3, FALSE), 3, 2), ""-"")"),8.772916666666664)</f>
        <v>8.772916667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62" t="s">
        <v>103</v>
      </c>
      <c r="B6" s="56" t="s">
        <v>104</v>
      </c>
      <c r="C6" s="63" t="str">
        <f>IFERROR(__xludf.DUMMYFUNCTION("IFERROR(INDEX(SORT(TRANSPOSE(FILTER({'통계'!$C$6:AA$6; '통계'!$C$17:AA$17; '통계'!$C$7:AA$7}, '통계'!$C$7:AA$7&gt;=$E$1)), 2, FALSE, 3, FALSE), 1, 1), ""-"")"),"나방")</f>
        <v>나방</v>
      </c>
      <c r="D6" s="71">
        <f>IFERROR(__xludf.DUMMYFUNCTION("IFERROR(INDEX(SORT(TRANSPOSE(FILTER({'통계'!$C$6:AA$6; '통계'!$C$17:AA$17; '통계'!$C$7:AA$7}, '통계'!$C$7:AA$7&gt;=$E$1)), 2, FALSE, 3, FALSE), 1, 2), ""-"")"),33441.17647058824)</f>
        <v>33441.17647</v>
      </c>
      <c r="E6" s="65" t="str">
        <f>IFERROR(__xludf.DUMMYFUNCTION("IFERROR(INDEX(SORT(TRANSPOSE(FILTER({'통계'!$C$6:AA$6; '통계'!$C$17:AA$17; '통계'!$C$7:AA$7}, '통계'!$C$7:AA$7&gt;=$E$1)), 2, FALSE, 3, FALSE), 2, 1), ""-"")"),"라비")</f>
        <v>라비</v>
      </c>
      <c r="F6" s="72">
        <f>IFERROR(__xludf.DUMMYFUNCTION("IFERROR(INDEX(SORT(TRANSPOSE(FILTER({'통계'!$C$6:AA$6; '통계'!$C$17:AA$17; '통계'!$C$7:AA$7}, '통계'!$C$7:AA$7&gt;=$E$1)), 2, FALSE, 3, FALSE), 2, 2), ""-"")"),28810.81081081081)</f>
        <v>28810.81081</v>
      </c>
      <c r="G6" s="66" t="str">
        <f>IFERROR(__xludf.DUMMYFUNCTION("IFERROR(INDEX(SORT(TRANSPOSE(FILTER({'통계'!$C$6:AA$6; '통계'!$C$17:AA$17; '통계'!$C$7:AA$7}, '통계'!$C$7:AA$7&gt;=$E$1)), 2, FALSE, 3, FALSE), 3, 1), ""-"")"),"댕댕")</f>
        <v>댕댕</v>
      </c>
      <c r="H6" s="72">
        <f>IFERROR(__xludf.DUMMYFUNCTION("IFERROR(INDEX(SORT(TRANSPOSE(FILTER({'통계'!$C$6:AA$6; '통계'!$C$17:AA$17; '통계'!$C$7:AA$7}, '통계'!$C$7:AA$7&gt;=$E$1)), 2, FALSE, 3, FALSE), 3, 2), ""-"")"),27939.583333333332)</f>
        <v>27939.58333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62" t="s">
        <v>105</v>
      </c>
      <c r="B7" s="56" t="s">
        <v>69</v>
      </c>
      <c r="C7" s="63" t="str">
        <f>IFERROR(__xludf.DUMMYFUNCTION("IFERROR(INDEX(QUERY(TRANSPOSE('통계'!$C$6:AA$8), ""select Col1 where Col2 &gt;= ""&amp;E1&amp;"" order by Col3 desc, Col2 desc limit 1""), 1, 1), ""-"")"),"나방")</f>
        <v>나방</v>
      </c>
      <c r="D7" s="73" t="str">
        <f>IFERROR(__xludf.DUMMYFUNCTION("IFERROR(INDEX(QUERY(TRANSPOSE('통계'!$C$6:AA$8), ""select Col3 where Col2 &gt;= ""&amp;E1&amp;"" order by Col3 desc, Col2 desc limit 1""), 1, 1), ""-"")"),"0.412")</f>
        <v>0.412</v>
      </c>
      <c r="E7" s="65" t="str">
        <f>IFERROR(__xludf.DUMMYFUNCTION("IFERROR(INDEX(QUERY(TRANSPOSE('통계'!$C$6:AA$8), ""select Col1 where Col2 &gt;= ""&amp;E1&amp;"" order by Col3 desc, Col2 desc limit 1 offset 1""), 1, 1), ""-"")"),"라비")</f>
        <v>라비</v>
      </c>
      <c r="F7" s="73" t="str">
        <f>IFERROR(__xludf.DUMMYFUNCTION("IFERROR(INDEX(QUERY(TRANSPOSE('통계'!$C$6:AA$8), ""select Col3 where Col2 &gt;= ""&amp;E1&amp;"" order by Col3 desc, Col2 desc limit 1 offset 1""), 1, 1), ""-"")"),"0.351")</f>
        <v>0.351</v>
      </c>
      <c r="G7" s="66" t="str">
        <f>IFERROR(__xludf.DUMMYFUNCTION("IFERROR(INDEX(QUERY(TRANSPOSE('통계'!$C$6:AA$8), ""select Col1 where Col2 &gt;= ""&amp;E1&amp;"" order by Col3 desc, Col2 desc limit 1 offset 2""), 1, 1), ""-"")"),"댕댕")</f>
        <v>댕댕</v>
      </c>
      <c r="H7" s="73" t="str">
        <f>IFERROR(__xludf.DUMMYFUNCTION("IFERROR(INDEX(QUERY(TRANSPOSE('통계'!$C$6:AA$8), ""select Col3 where Col2 &gt;= ""&amp;E1&amp;"" order by Col3 desc, Col2 desc limit 1 offset 2""), 1, 1), ""-"")"),"0.333")</f>
        <v>0.333</v>
      </c>
      <c r="I7" s="51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74" t="s">
        <v>106</v>
      </c>
      <c r="B8" s="75" t="s">
        <v>72</v>
      </c>
      <c r="C8" s="63" t="str">
        <f>IFERROR(__xludf.DUMMYFUNCTION("IFERROR(INDEX(SORT(TRANSPOSE(FILTER({'통계'!$C$6:AA$6; '통계'!$C$11:AA$11; '통계'!$C$7:AA$7}, '통계'!$C$7:AA$7&gt;=$E$1)), 2, FALSE, 3, FALSE), 1, 1), ""-"")"),"고꿍")</f>
        <v>고꿍</v>
      </c>
      <c r="D8" s="73">
        <f>IFERROR(__xludf.DUMMYFUNCTION("IFERROR(INDEX(SORT(TRANSPOSE(FILTER({'통계'!$C$6:AA$6; '통계'!$C$11:AA$11; '통계'!$C$7:AA$7}, '통계'!$C$7:AA$7&gt;=$E$1)), 2, FALSE, 3, FALSE), 1, 2), ""-"")"),0.42105263157894735)</f>
        <v>0.4210526316</v>
      </c>
      <c r="E8" s="65" t="str">
        <f>IFERROR(__xludf.DUMMYFUNCTION("IFERROR(INDEX(SORT(TRANSPOSE(FILTER({'통계'!$C$6:AA$6; '통계'!$C$11:AA$11; '통계'!$C$7:AA$7}, '통계'!$C$7:AA$7&gt;=$E$1)), 2, FALSE, 3, FALSE), 2, 1), ""-"")"),"절미")</f>
        <v>절미</v>
      </c>
      <c r="F8" s="73">
        <f>IFERROR(__xludf.DUMMYFUNCTION("IFERROR(INDEX(SORT(TRANSPOSE(FILTER({'통계'!$C$6:AA$6; '통계'!$C$11:AA$11; '통계'!$C$7:AA$7}, '통계'!$C$7:AA$7&gt;=$E$1)), 2, FALSE, 3, FALSE), 2, 2), ""-"")"),0.35714285714285715)</f>
        <v>0.3571428571</v>
      </c>
      <c r="G8" s="66" t="str">
        <f>IFERROR(__xludf.DUMMYFUNCTION("IFERROR(INDEX(SORT(TRANSPOSE(FILTER({'통계'!$C$6:AA$6; '통계'!$C$11:AA$11; '통계'!$C$7:AA$7}, '통계'!$C$7:AA$7&gt;=$E$1)), 2, FALSE, 3, FALSE), 3, 1), ""-"")"),"조연")</f>
        <v>조연</v>
      </c>
      <c r="H8" s="73">
        <f>IFERROR(__xludf.DUMMYFUNCTION("IFERROR(INDEX(SORT(TRANSPOSE(FILTER({'통계'!$C$6:AA$6; '통계'!$C$11:AA$11; '통계'!$C$7:AA$7}, '통계'!$C$7:AA$7&gt;=$E$1)), 2, FALSE, 3, FALSE), 3, 2), ""-"")"),0.3)</f>
        <v>0.3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62" t="s">
        <v>107</v>
      </c>
      <c r="B9" s="56" t="s">
        <v>108</v>
      </c>
      <c r="C9" s="63" t="str">
        <f>IFERROR(__xludf.DUMMYFUNCTION("IFERROR(INDEX(SORT(TRANSPOSE(FILTER({'통계'!$C$6:AA$6; '통계'!$C$11:AA$11; '통계'!$C$7:AA$7}, '통계'!$C$7:AA$7&gt;=$E$1)), 2, TRUE, 3, FALSE), 1, 1), ""-"")"),"댕댕")</f>
        <v>댕댕</v>
      </c>
      <c r="D9" s="73">
        <f>IFERROR(__xludf.DUMMYFUNCTION("IFERROR(INDEX(SORT(TRANSPOSE(FILTER({'통계'!$C$6:AA$6; '통계'!$C$11:AA$11; '통계'!$C$7:AA$7}, '통계'!$C$7:AA$7&gt;=$E$1)), 2, TRUE, 3, FALSE), 1, 2), ""-"")"),0.08333333333333333)</f>
        <v>0.08333333333</v>
      </c>
      <c r="E9" s="65" t="str">
        <f>IFERROR(__xludf.DUMMYFUNCTION("IFERROR(INDEX(SORT(TRANSPOSE(FILTER({'통계'!$C$6:AA$6; '통계'!$C$11:AA$11; '통계'!$C$7:AA$7}, '통계'!$C$7:AA$7&gt;=$E$1)), 2, TRUE, 3, FALSE), 2, 1), ""-"")"),"라비")</f>
        <v>라비</v>
      </c>
      <c r="F9" s="73">
        <f>IFERROR(__xludf.DUMMYFUNCTION("IFERROR(INDEX(SORT(TRANSPOSE(FILTER({'통계'!$C$6:AA$6; '통계'!$C$11:AA$11; '통계'!$C$7:AA$7}, '통계'!$C$7:AA$7&gt;=$E$1)), 2, TRUE, 3, FALSE), 2, 2), ""-"")"),0.10810810810810811)</f>
        <v>0.1081081081</v>
      </c>
      <c r="G9" s="66" t="str">
        <f>IFERROR(__xludf.DUMMYFUNCTION("IFERROR(INDEX(SORT(TRANSPOSE(FILTER({'통계'!$C$6:AA$6; '통계'!$C$11:AA$11; '통계'!$C$7:AA$7}, '통계'!$C$7:AA$7&gt;=$E$1)), 2, TRUE, 3, FALSE), 3, 1), ""-"")"),"노세")</f>
        <v>노세</v>
      </c>
      <c r="H9" s="73">
        <f>IFERROR(__xludf.DUMMYFUNCTION("IFERROR(INDEX(SORT(TRANSPOSE(FILTER({'통계'!$C$6:AA$6; '통계'!$C$11:AA$11; '통계'!$C$7:AA$7}, '통계'!$C$7:AA$7&gt;=$E$1)), 2, TRUE, 3, FALSE), 3, 2), ""-"")"),0.16666666666666666)</f>
        <v>0.1666666667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62" t="s">
        <v>109</v>
      </c>
      <c r="B10" s="56" t="s">
        <v>74</v>
      </c>
      <c r="C10" s="63" t="str">
        <f>IFERROR(__xludf.DUMMYFUNCTION("IFERROR(INDEX(SORT(TRANSPOSE(FILTER({'통계'!$C$6:AA$6; '통계'!$C$13:AA$13; '통계'!$C$7:AA$7}, '통계'!$C$7:AA$7&gt;=$E$1)), 2, FALSE, 3, FALSE), 1, 1), ""-"")"),"라비")</f>
        <v>라비</v>
      </c>
      <c r="D10" s="73">
        <f>IFERROR(__xludf.DUMMYFUNCTION("IFERROR(INDEX(SORT(TRANSPOSE(FILTER({'통계'!$C$6:AA$6; '통계'!$C$13:AA$13; '통계'!$C$7:AA$7}, '통계'!$C$7:AA$7&gt;=$E$1)), 2, FALSE, 3, FALSE), 1, 2), ""-"")"),0.5945945945945946)</f>
        <v>0.5945945946</v>
      </c>
      <c r="E10" s="65" t="str">
        <f>IFERROR(__xludf.DUMMYFUNCTION("IFERROR(INDEX(SORT(TRANSPOSE(FILTER({'통계'!$C$6:AA$6; '통계'!$C$13:AA$13; '통계'!$C$7:AA$7}, '통계'!$C$7:AA$7&gt;=$E$1)), 2, FALSE, 3, FALSE), 2, 1), ""-"")"),"나방")</f>
        <v>나방</v>
      </c>
      <c r="F10" s="73">
        <f>IFERROR(__xludf.DUMMYFUNCTION("IFERROR(INDEX(SORT(TRANSPOSE(FILTER({'통계'!$C$6:AA$6; '통계'!$C$13:AA$13; '통계'!$C$7:AA$7}, '통계'!$C$7:AA$7&gt;=$E$1)), 2, FALSE, 3, FALSE), 2, 2), ""-"")"),0.5882352941176471)</f>
        <v>0.5882352941</v>
      </c>
      <c r="G10" s="66" t="str">
        <f>IFERROR(__xludf.DUMMYFUNCTION("IFERROR(INDEX(SORT(TRANSPOSE(FILTER({'통계'!$C$6:AA$6; '통계'!$C$13:AA$13; '통계'!$C$7:AA$7}, '통계'!$C$7:AA$7&gt;=$E$1)), 2, FALSE, 3, FALSE), 3, 1), ""-"")"),"댕댕")</f>
        <v>댕댕</v>
      </c>
      <c r="H10" s="73">
        <f>IFERROR(__xludf.DUMMYFUNCTION("IFERROR(INDEX(SORT(TRANSPOSE(FILTER({'통계'!$C$6:AA$6; '통계'!$C$13:AA$13; '통계'!$C$7:AA$7}, '통계'!$C$7:AA$7&gt;=$E$1)), 2, FALSE, 3, FALSE), 3, 2), ""-"")"),0.5833333333333334)</f>
        <v>0.5833333333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62" t="s">
        <v>110</v>
      </c>
      <c r="B11" s="56" t="s">
        <v>111</v>
      </c>
      <c r="C11" s="63" t="str">
        <f>IFERROR(__xludf.DUMMYFUNCTION("IFERROR(INDEX(QUERY(TRANSPOSE({'통계'!$C$6:AA$6; '통계'!$C$7:AA$7; '통계'!$C$12:AA$12}), ""select Col1 where Col2 &gt;= ""&amp;$E$1&amp;"" order by Col3 asc, Col2 desc limit 1""), 1, 1), ""-"")"),"노세")</f>
        <v>노세</v>
      </c>
      <c r="D11" s="73" t="str">
        <f>IFERROR(__xludf.DUMMYFUNCTION("LET(값, IFERROR(INDEX(QUERY(TRANSPOSE({'통계'!$C$6:AA$6; '통계'!$C$7:AA$7; '통계'!$C$12:AA$12}), ""select Col3 where Col2 &gt;= ""&amp;$E$1&amp;"" order by Col3 asc, Col2 desc limit 1""), 1, 1), ""-""), IF(값=0, ""-"", 값))"),"-")</f>
        <v>-</v>
      </c>
      <c r="E11" s="65" t="str">
        <f>IFERROR(__xludf.DUMMYFUNCTION("IFERROR(INDEX(QUERY(TRANSPOSE({'통계'!$C$6:AA$6; '통계'!$C$7:AA$7; '통계'!$C$12:AA$12}), ""select Col1 where Col2 &gt;= ""&amp;$E$1&amp;"" order by Col3 asc, Col2 desc limit 1 offset 1""), 1, 1), ""-"")"),"DM")</f>
        <v>DM</v>
      </c>
      <c r="F11" s="73" t="str">
        <f>IFERROR(__xludf.DUMMYFUNCTION("LET(값, IFERROR(INDEX(QUERY(TRANSPOSE({'통계'!$C$6:AA$6; '통계'!$C$7:AA$7; '통계'!$C$12:AA$12}), ""select Col3 where Col2 &gt;= ""&amp;$E$1&amp;"" order by Col3 asc, Col2 desc limit 1 offset 1""), 1, 1), ""-""), IF(값=0, ""-"", 값))"),"-")</f>
        <v>-</v>
      </c>
      <c r="G11" s="66" t="str">
        <f>IFERROR(__xludf.DUMMYFUNCTION("IFERROR(INDEX(QUERY(TRANSPOSE({'통계'!$C$6:AA$6; '통계'!$C$7:AA$7; '통계'!$C$12:AA$12}), ""select Col1 where Col2 &gt;= ""&amp;$E$1&amp;"" order by Col3 asc, Col2 desc limit 1 offset 2""), 1, 1), ""-"")"),"댕댕")</f>
        <v>댕댕</v>
      </c>
      <c r="H11" s="73" t="str">
        <f>IFERROR(__xludf.DUMMYFUNCTION("LET(값, IFERROR(INDEX(QUERY(TRANSPOSE({'통계'!$C$6:AA$6; '통계'!$C$7:AA$7; '통계'!$C$12:AA$12}), ""select Col3 where Col2 &gt;= ""&amp;$E$1&amp;"" order by Col3 asc, Col2 desc limit 1 offset 2""), 1, 1), ""-""), IF(값=0, ""-"", 값))"),"0.021")</f>
        <v>0.021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62" t="s">
        <v>112</v>
      </c>
      <c r="B12" s="56" t="s">
        <v>79</v>
      </c>
      <c r="C12" s="63" t="str">
        <f>IFERROR(__xludf.DUMMYFUNCTION("IFERROR(INDEX(SORT(TRANSPOSE(FILTER({'통계'!$C$6:AA$6; '통계'!$C$21:AA$21; '통계'!$C$7:AA$7}, '통계'!$C$7:AA$7&gt;=$E$1)), 2, TRUE, 3, FALSE), 1, 1), ""-"")"),"라비")</f>
        <v>라비</v>
      </c>
      <c r="D12" s="70">
        <f>IFERROR(__xludf.DUMMYFUNCTION("IFERROR(INDEX(SORT(TRANSPOSE(FILTER({'통계'!$C$6:AA$6; '통계'!$C$21:AA$21; '통계'!$C$7:AA$7}, '통계'!$C$7:AA$7&gt;=$E$1)), 2, TRUE, 3, FALSE), 1, 2), ""-"")"),2.1621621621621623)</f>
        <v>2.162162162</v>
      </c>
      <c r="E12" s="65" t="str">
        <f>IFERROR(__xludf.DUMMYFUNCTION("IFERROR(INDEX(SORT(TRANSPOSE(FILTER({'통계'!$C$6:AA$6; '통계'!$C$21:AA$21; '통계'!$C$7:AA$7}, '통계'!$C$7:AA$7&gt;=$E$1)), 2, TRUE, 3, FALSE), 2, 1), ""-"")"),"댕댕")</f>
        <v>댕댕</v>
      </c>
      <c r="F12" s="70">
        <f>IFERROR(__xludf.DUMMYFUNCTION("IFERROR(INDEX(SORT(TRANSPOSE(FILTER({'통계'!$C$6:AA$6; '통계'!$C$21:AA$21; '통계'!$C$7:AA$7}, '통계'!$C$7:AA$7&gt;=$E$1)), 2, TRUE, 3, FALSE), 2, 2), ""-"")"),2.1666666666666665)</f>
        <v>2.166666667</v>
      </c>
      <c r="G12" s="66" t="str">
        <f>IFERROR(__xludf.DUMMYFUNCTION("IFERROR(INDEX(SORT(TRANSPOSE(FILTER({'통계'!$C$6:AA$6; '통계'!$C$21:AA$21; '통계'!$C$7:AA$7}, '통계'!$C$7:AA$7&gt;=$E$1)), 2, TRUE, 3, FALSE), 3, 1), ""-"")"),"나방")</f>
        <v>나방</v>
      </c>
      <c r="H12" s="70">
        <f>IFERROR(__xludf.DUMMYFUNCTION("IFERROR(INDEX(SORT(TRANSPOSE(FILTER({'통계'!$C$6:AA$6; '통계'!$C$21:AA$21; '통계'!$C$7:AA$7}, '통계'!$C$7:AA$7&gt;=$E$1)), 2, TRUE, 3, FALSE), 3, 2), ""-"")"),2.235294117647059)</f>
        <v>2.235294118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62" t="s">
        <v>113</v>
      </c>
      <c r="B13" s="56" t="s">
        <v>114</v>
      </c>
      <c r="C13" s="63" t="str">
        <f>IFERROR(__xludf.DUMMYFUNCTION("IFERROR(INDEX(SORT(TRANSPOSE(FILTER({'통계'!$C$6:AA$6; '통계'!$C$15:AA$15; '통계'!$C$7:AA$7}, '통계'!$C$7:AA$7&gt;=$E$1)), 2, FALSE, 3, FALSE), 1, 1), ""-"")"),"DM")</f>
        <v>DM</v>
      </c>
      <c r="D13" s="72">
        <f>IFERROR(__xludf.DUMMYFUNCTION("IFERROR(INDEX(SORT(TRANSPOSE(FILTER({'통계'!$C$6:AA$6; '통계'!$C$15:AA$15; '통계'!$C$7:AA$7}, '통계'!$C$7:AA$7&gt;=$E$1)), 2, FALSE, 3, FALSE), 1, 2), ""-"")"),74500.0)</f>
        <v>74500</v>
      </c>
      <c r="E13" s="65" t="str">
        <f>IFERROR(__xludf.DUMMYFUNCTION("IFERROR(INDEX(SORT(TRANSPOSE(FILTER({'통계'!$C$6:AA$6; '통계'!$C$15:AA$15; '통계'!$C$7:AA$7}, '통계'!$C$7:AA$7&gt;=$E$1)), 2, FALSE, 3, FALSE), 2, 1), ""-"")"),"나방")</f>
        <v>나방</v>
      </c>
      <c r="F13" s="72">
        <f>IFERROR(__xludf.DUMMYFUNCTION("IFERROR(INDEX(SORT(TRANSPOSE(FILTER({'통계'!$C$6:AA$6; '통계'!$C$15:AA$15; '통계'!$C$7:AA$7}, '통계'!$C$7:AA$7&gt;=$E$1)), 2, FALSE, 3, FALSE), 2, 2), ""-"")"),60100.0)</f>
        <v>60100</v>
      </c>
      <c r="G13" s="66" t="str">
        <f>IFERROR(__xludf.DUMMYFUNCTION("IFERROR(INDEX(SORT(TRANSPOSE(FILTER({'통계'!$C$6:AA$6; '통계'!$C$15:AA$15; '통계'!$C$7:AA$7}, '통계'!$C$7:AA$7&gt;=$E$1)), 2, FALSE, 3, FALSE), 3, 1), ""-"")"),"절미")</f>
        <v>절미</v>
      </c>
      <c r="H13" s="72">
        <f>IFERROR(__xludf.DUMMYFUNCTION("IFERROR(INDEX(SORT(TRANSPOSE(FILTER({'통계'!$C$6:AA$6; '통계'!$C$15:AA$15; '통계'!$C$7:AA$7}, '통계'!$C$7:AA$7&gt;=$E$1)), 2, FALSE, 3, FALSE), 3, 2), ""-"")"),60000.0)</f>
        <v>60000</v>
      </c>
      <c r="I13" s="15"/>
      <c r="J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62" t="s">
        <v>115</v>
      </c>
      <c r="B14" s="75" t="s">
        <v>116</v>
      </c>
      <c r="C14" s="63" t="str">
        <f>IFERROR(__xludf.DUMMYFUNCTION("IFERROR(INDEX(SORT(TRANSPOSE(FILTER({'통계'!$C$6:AA$6; '통계'!$C$16:AA$16; '통계'!$C$7:AA$7}, '통계'!$C$7:AA$7&gt;=$E$1)), 2, TRUE, 3, FALSE), 1, 1), ""-"")"),"절미")</f>
        <v>절미</v>
      </c>
      <c r="D14" s="72">
        <f>IFERROR(__xludf.DUMMYFUNCTION("IFERROR(INDEX(SORT(TRANSPOSE(FILTER({'통계'!$C$6:AA$6; '통계'!$C$16:AA$16; '통계'!$C$7:AA$7}, '통계'!$C$7:AA$7&gt;=$E$1)), 2, TRUE, 3, FALSE), 1, 2), ""-"")"),-5700.0)</f>
        <v>-5700</v>
      </c>
      <c r="E14" s="65" t="str">
        <f>IFERROR(__xludf.DUMMYFUNCTION("IFERROR(INDEX(SORT(TRANSPOSE(FILTER({'통계'!$C$6:AA$6; '통계'!$C$16:AA$16; '통계'!$C$7:AA$7}, '통계'!$C$7:AA$7&gt;=$E$1)), 2, TRUE, 3, FALSE), 2, 1), ""-"")"),"넥닉수")</f>
        <v>넥닉수</v>
      </c>
      <c r="F14" s="72">
        <f>IFERROR(__xludf.DUMMYFUNCTION("IFERROR(INDEX(SORT(TRANSPOSE(FILTER({'통계'!$C$6:AA$6; '통계'!$C$16:AA$16; '통계'!$C$7:AA$7}, '통계'!$C$7:AA$7&gt;=$E$1)), 2, TRUE, 3, FALSE), 2, 2), ""-"")"),-3300.0)</f>
        <v>-3300</v>
      </c>
      <c r="G14" s="66" t="str">
        <f>IFERROR(__xludf.DUMMYFUNCTION("IFERROR(INDEX(SORT(TRANSPOSE(FILTER({'통계'!$C$6:AA$6; '통계'!$C$16:AA$16; '통계'!$C$7:AA$7}, '통계'!$C$7:AA$7&gt;=$E$1)), 2, TRUE, 3, FALSE), 3, 1), ""-"")"),"나방")</f>
        <v>나방</v>
      </c>
      <c r="H14" s="72">
        <f>IFERROR(__xludf.DUMMYFUNCTION("IFERROR(INDEX(SORT(TRANSPOSE(FILTER({'통계'!$C$6:AA$6; '통계'!$C$16:AA$16; '통계'!$C$7:AA$7}, '통계'!$C$7:AA$7&gt;=$E$1)), 2, TRUE, 3, FALSE), 3, 2), ""-"")"),-3200.0)</f>
        <v>-3200</v>
      </c>
      <c r="I14" s="15"/>
      <c r="J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62" t="s">
        <v>117</v>
      </c>
      <c r="B15" s="56" t="s">
        <v>118</v>
      </c>
      <c r="C15" s="63" t="str">
        <f>IFERROR(__xludf.DUMMYFUNCTION("IFERROR(INDEX(SORT(LET(날짜,'기록'!A:A,이름,'기록'!D:D,점수,'기록'!E:E,순위,'기록'!F:F,목표연도,TO_TEXT('통계'!$A$2),최소판수,$E$1,데이터연도,ARRAYFORMULA(LEFT(TO_TEXT(날짜),4)),연도조건,IF(목표연도=""전체"",TRUE,데이터연도=목표연도),전체이름,FILTER(이름,연도조건),조건,(순위=2)*연도조건,필터링,FILTER({이름,점수},조건),판수,MAP(INDEX(필"&amp;"터링,,1),LAMBDA(x,COUNTIF(전체이름,x))),최종데이터,FILTER(필터링,판수&gt;=최소판수),최종데이터),2,FALSE),1,1),""-"")"),"댕댕")</f>
        <v>댕댕</v>
      </c>
      <c r="D15" s="72">
        <f>IFERROR(__xludf.DUMMYFUNCTION("IFERROR(INDEX(SORT(LET(날짜,'기록'!A:A,이름,'기록'!D:D,점수,'기록'!E:E,순위,'기록'!F:F,목표연도,TO_TEXT('통계'!$A$2),최소판수,$E$1,데이터연도,ARRAYFORMULA(LEFT(TO_TEXT(날짜),4)),연도조건,IF(목표연도=""전체"",TRUE,데이터연도=목표연도),전체이름,FILTER(이름,연도조건),조건,(순위=2)*연도조건,필터링,FILTER({이름,점수},조건),판수,MAP(INDEX(필"&amp;"터링,,1),LAMBDA(x,COUNTIF(전체이름,x))),최종데이터,FILTER(필터링,판수&gt;=최소판수),최종데이터),2,FALSE),1,2),""-"")"),40500.0)</f>
        <v>40500</v>
      </c>
      <c r="E15" s="65" t="str">
        <f>IFERROR(__xludf.DUMMYFUNCTION("IFERROR(INDEX(SORT(LET(날짜,'기록'!A:A,이름,'기록'!D:D,점수,'기록'!E:E,순위,'기록'!F:F,목표연도,TO_TEXT('통계'!$A$2),최소판수,$E$1,데이터연도,ARRAYFORMULA(LEFT(TO_TEXT(날짜),4)),연도조건,IF(목표연도=""전체"",TRUE,데이터연도=목표연도),전체이름,FILTER(이름,연도조건),조건,(순위=2)*연도조건,필터링,FILTER({이름,점수},조건),판수,MAP(INDEX(필"&amp;"터링,,1),LAMBDA(x,COUNTIF(전체이름,x))),최종데이터,FILTER(필터링,판수&gt;=최소판수),최종데이터),2,FALSE),2,1),""-"")"),"라비")</f>
        <v>라비</v>
      </c>
      <c r="F15" s="72">
        <f>IFERROR(__xludf.DUMMYFUNCTION("IFERROR(INDEX(SORT(LET(날짜,'기록'!A:A,이름,'기록'!D:D,점수,'기록'!E:E,순위,'기록'!F:F,목표연도,TO_TEXT('통계'!$A$2),최소판수,$E$1,데이터연도,ARRAYFORMULA(LEFT(TO_TEXT(날짜),4)),연도조건,IF(목표연도=""전체"",TRUE,데이터연도=목표연도),전체이름,FILTER(이름,연도조건),조건,(순위=2)*연도조건,필터링,FILTER({이름,점수},조건),판수,MAP(INDEX(필"&amp;"터링,,1),LAMBDA(x,COUNTIF(전체이름,x))),최종데이터,FILTER(필터링,판수&gt;=최소판수),최종데이터),2,FALSE),2,2),""-"")"),38000.0)</f>
        <v>38000</v>
      </c>
      <c r="G15" s="66" t="str">
        <f>IFERROR(__xludf.DUMMYFUNCTION("IFERROR(INDEX(SORT(LET(날짜,'기록'!A:A,이름,'기록'!D:D,점수,'기록'!E:E,순위,'기록'!F:F,목표연도,TO_TEXT('통계'!$A$2),최소판수,$E$1,데이터연도,ARRAYFORMULA(LEFT(TO_TEXT(날짜),4)),연도조건,IF(목표연도=""전체"",TRUE,데이터연도=목표연도),전체이름,FILTER(이름,연도조건),조건,(순위=2)*연도조건,필터링,FILTER({이름,점수},조건),판수,MAP(INDEX(필"&amp;"터링,,1),LAMBDA(x,COUNTIF(전체이름,x))),최종데이터,FILTER(필터링,판수&gt;=최소판수),최종데이터),2,FALSE),3,1),""-"")"),"나방")</f>
        <v>나방</v>
      </c>
      <c r="H15" s="72">
        <f>IFERROR(__xludf.DUMMYFUNCTION("IFERROR(INDEX(SORT(LET(날짜,'기록'!A:A,이름,'기록'!D:D,점수,'기록'!E:E,순위,'기록'!F:F,목표연도,TO_TEXT('통계'!$A$2),최소판수,$E$1,데이터연도,ARRAYFORMULA(LEFT(TO_TEXT(날짜),4)),연도조건,IF(목표연도=""전체"",TRUE,데이터연도=목표연도),전체이름,FILTER(이름,연도조건),조건,(순위=2)*연도조건,필터링,FILTER({이름,점수},조건),판수,MAP(INDEX(필"&amp;"터링,,1),LAMBDA(x,COUNTIF(전체이름,x))),최종데이터,FILTER(필터링,판수&gt;=최소판수),최종데이터),2,FALSE),3,2),""-"")"),37500.0)</f>
        <v>37500</v>
      </c>
      <c r="I15" s="51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62" t="s">
        <v>119</v>
      </c>
      <c r="B16" s="75" t="s">
        <v>73</v>
      </c>
      <c r="C16" s="63" t="str">
        <f>IFERROR(__xludf.DUMMYFUNCTION("IFERROR(INDEX(QUERY(TRANSPOSE({'통계'!$C$6:AA$6; '통계'!$C$7:AA$7; '통계'!$C$12:AA$12}), ""select Col1 where Col2 &gt;= ""&amp;$E$1&amp;"" order by Col3 desc limit 1""), 1, 1), ""-"")"),"절미")</f>
        <v>절미</v>
      </c>
      <c r="D16" s="73" t="str">
        <f>IFERROR(__xludf.DUMMYFUNCTION("IFERROR(INDEX(QUERY(TRANSPOSE({'통계'!$C$6:AA$6; '통계'!$C$7:AA$7; '통계'!$C$12:AA$12}), ""select Col3 where Col2 &gt;= ""&amp;$E$1&amp;"" order by Col3 desc limit 1""), 1, 1), ""-"")"),"0.107")</f>
        <v>0.107</v>
      </c>
      <c r="E16" s="65" t="str">
        <f>IFERROR(__xludf.DUMMYFUNCTION("IFERROR(INDEX(QUERY(TRANSPOSE({'통계'!$C$6:AA$6; '통계'!$C$7:AA$7; '통계'!$C$12:AA$12}), ""select Col1 where Col2 &gt;= ""&amp;$E$1&amp;"" order by Col3 desc limit 1 offset 1""), 1, 1), ""-"")"),"루젼")</f>
        <v>루젼</v>
      </c>
      <c r="F16" s="73" t="str">
        <f>IFERROR(__xludf.DUMMYFUNCTION("IFERROR(INDEX(QUERY(TRANSPOSE({'통계'!$C$6:AA$6; '통계'!$C$7:AA$7; '통계'!$C$12:AA$12}), ""select Col3 where Col2 &gt;= ""&amp;$E$1&amp;"" order by Col3 desc limit 1 offset 1""), 1, 1), ""-"")"),"0.105")</f>
        <v>0.105</v>
      </c>
      <c r="G16" s="66" t="str">
        <f>IFERROR(__xludf.DUMMYFUNCTION("IFERROR(INDEX(QUERY(TRANSPOSE({'통계'!$C$6:AA$6; '통계'!$C$7:AA$7; '통계'!$C$12:AA$12}), ""select Col1 where Col2 &gt;= ""&amp;$E$1&amp;"" order by Col3 desc limit 1 offset 2""), 1, 1), ""-"")"),"넥닉수")</f>
        <v>넥닉수</v>
      </c>
      <c r="H16" s="73" t="str">
        <f>IFERROR(__xludf.DUMMYFUNCTION("IFERROR(INDEX(QUERY(TRANSPOSE({'통계'!$C$6:AA$6; '통계'!$C$7:AA$7; '통계'!$C$12:AA$12}), ""select Col3 where Col2 &gt;= ""&amp;$E$1&amp;"" order by Col3 desc limit 1 offset 2""), 1, 1), ""-"")"),"0.100")</f>
        <v>0.100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D18" s="76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77" t="str">
        <f>'통계'!A2</f>
        <v>2026</v>
      </c>
      <c r="B19" s="15"/>
      <c r="C19" s="51" t="s">
        <v>120</v>
      </c>
      <c r="D19" s="15"/>
      <c r="E19" s="15">
        <f>E1</f>
        <v>10</v>
      </c>
      <c r="F19" s="51" t="s">
        <v>91</v>
      </c>
      <c r="G19" s="54" t="s">
        <v>92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57" t="s">
        <v>94</v>
      </c>
      <c r="B20" s="56" t="s">
        <v>95</v>
      </c>
      <c r="C20" s="58" t="s">
        <v>96</v>
      </c>
      <c r="D20" s="59"/>
      <c r="E20" s="60" t="s">
        <v>97</v>
      </c>
      <c r="F20" s="59"/>
      <c r="G20" s="60" t="s">
        <v>98</v>
      </c>
      <c r="H20" s="59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62" t="s">
        <v>99</v>
      </c>
      <c r="B21" s="56" t="s">
        <v>100</v>
      </c>
      <c r="C21" s="78" t="str">
        <f>IFERROR(__xludf.DUMMYFUNCTION("IFERROR(INDEX(SORT(TRANSPOSE(FILTER(
  {'통계'!$C$6:$ZU$6; '통계'!$C$7:$ZU$7; '통계'!$C$7:$ZU$7}, 
  ('통계'!$C$7:$ZU$7 &gt;= $E$1) * ('통계'!$C$6:$ZU$6 &lt;&gt; $P$1) * ('통계'!$C$6:$ZU$6 &lt;&gt; $P$2) * ('통계'!$C$6:$ZU$6 &lt;&gt; $P$3) * ('통계'!$C$6:$ZU$6 &lt;&gt; $P$4)
)), 2, FALSE, 3, FALSE"&amp;"), 1, 1), ""-"")"),"라비")</f>
        <v>라비</v>
      </c>
      <c r="D21" s="56">
        <f>IFERROR(__xludf.DUMMYFUNCTION("IFERROR(INDEX(SORT(TRANSPOSE(FILTER(
  {'통계'!$C$6:$ZU$6; '통계'!$C$7:$ZU$7; '통계'!$C$7:$ZU$7}, 
  ('통계'!$C$7:$ZU$7 &gt;= $E$1) * ('통계'!$C$6:$ZU$6 &lt;&gt; $P$1) * ('통계'!$C$6:$ZU$6 &lt;&gt; $P$2) * ('통계'!$C$6:$ZU$6 &lt;&gt; $P$3) * ('통계'!$C$6:$ZU$6 &lt;&gt; $P$4)
)), 2, FALSE, 3, FALSE"&amp;"), 1, 2), ""-"")"),37.0)</f>
        <v>37</v>
      </c>
      <c r="E21" s="79" t="str">
        <f>IFERROR(__xludf.DUMMYFUNCTION("IFERROR(INDEX(SORT(TRANSPOSE(FILTER(
  {'통계'!$C$6:$ZU$6; '통계'!$C$7:$ZU$7; '통계'!$C$7:$ZU$7}, 
  ('통계'!$C$7:$ZU$7 &gt;= $E$1) * ('통계'!$C$6:$ZU$6 &lt;&gt; $P$1) * ('통계'!$C$6:$ZU$6 &lt;&gt; $P$2) * ('통계'!$C$6:$ZU$6 &lt;&gt; $P$3) * ('통계'!$C$6:$ZU$6 &lt;&gt; $P$4)
)), 2, FALSE, 3, FALSE"&amp;"), 2, 1), ""-"")"),"절미")</f>
        <v>절미</v>
      </c>
      <c r="F21" s="56">
        <f>IFERROR(__xludf.DUMMYFUNCTION("IFERROR(INDEX(SORT(TRANSPOSE(FILTER(
  {'통계'!$C$6:$ZU$6; '통계'!$C$7:$ZU$7; '통계'!$C$7:$ZU$7}, 
  ('통계'!$C$7:$ZU$7 &gt;= $E$1) * ('통계'!$C$6:$ZU$6 &lt;&gt; $P$1) * ('통계'!$C$6:$ZU$6 &lt;&gt; $P$2) * ('통계'!$C$6:$ZU$6 &lt;&gt; $P$3) * ('통계'!$C$6:$ZU$6 &lt;&gt; $P$4)
)), 2, FALSE, 3, FALSE"&amp;"), 2, 2), ""-"")"),28.0)</f>
        <v>28</v>
      </c>
      <c r="G21" s="80" t="str">
        <f>IFERROR(__xludf.DUMMYFUNCTION("IFERROR(INDEX(SORT(TRANSPOSE(FILTER(
  {'통계'!$C$6:$ZU$6; '통계'!$C$7:$ZU$7; '통계'!$C$7:$ZU$7}, 
  ('통계'!$C$7:$ZU$7 &gt;= $E$1) * ('통계'!$C$6:$ZU$6 &lt;&gt; $P$1) * ('통계'!$C$6:$ZU$6 &lt;&gt; $P$2) * ('통계'!$C$6:$ZU$6 &lt;&gt; $P$3) * ('통계'!$C$6:$ZU$6 &lt;&gt; $P$4)
)), 2, FALSE, 3, FALSE"&amp;"), 3, 1), ""-"")"),"조연")</f>
        <v>조연</v>
      </c>
      <c r="H21" s="56">
        <f>IFERROR(__xludf.DUMMYFUNCTION("IFERROR(INDEX(SORT(TRANSPOSE(FILTER(
  {'통계'!$C$6:$ZU$6; '통계'!$C$7:$ZU$7; '통계'!$C$7:$ZU$7}, 
  ('통계'!$C$7:$ZU$7 &gt;= $E$1) * ('통계'!$C$6:$ZU$6 &lt;&gt; $P$1) * ('통계'!$C$6:$ZU$6 &lt;&gt; $P$2) * ('통계'!$C$6:$ZU$6 &lt;&gt; $P$3) * ('통계'!$C$6:$ZU$6 &lt;&gt; $P$4)
)), 2, FALSE, 3, FALSE"&amp;"), 3, 2), ""-"")"),20.0)</f>
        <v>20</v>
      </c>
      <c r="I21" s="15"/>
      <c r="J21" s="81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62" t="s">
        <v>101</v>
      </c>
      <c r="B22" s="56" t="s">
        <v>66</v>
      </c>
      <c r="C22" s="63" t="str">
        <f>IFERROR(__xludf.DUMMYFUNCTION("IFERROR(INDEX(SORT(TRANSPOSE(FILTER(
  {'통계'!$C$6:$ZU$6; '통계'!$C$19:$ZU$19; '통계'!$C$7:$ZU$7}, 
  ('통계'!$C$7:$ZU$7 &gt;= $E$1) * ('통계'!$C$6:$ZU$6 &lt;&gt; $P$1) * ('통계'!$C$6:$ZU$6 &lt;&gt; $P$2) * ('통계'!$C$6:$ZU$6 &lt;&gt; $P$3) * ('통계'!$C$6:$ZU$6 &lt;&gt; $P$4)
)), 2, FALSE, 3, FAL"&amp;"SE), 1, 1), ""-"")"),"라비")</f>
        <v>라비</v>
      </c>
      <c r="D22" s="47">
        <f>IFERROR(__xludf.DUMMYFUNCTION("IFERROR(INDEX(SORT(TRANSPOSE(FILTER(
  {'통계'!$C$6:$ZU$6; '통계'!$C$19:$ZU$19; '통계'!$C$7:$ZU$7}, 
  ('통계'!$C$7:$ZU$7 &gt;= $E$1) * ('통계'!$C$6:$ZU$6 &lt;&gt; $P$1) * ('통계'!$C$6:$ZU$6 &lt;&gt; $P$2) * ('통계'!$C$6:$ZU$6 &lt;&gt; $P$3) * ('통계'!$C$6:$ZU$6 &lt;&gt; $P$4)
)), 2, FALSE, 3, FAL"&amp;"SE), 1, 2), ""-"")"),376.0)</f>
        <v>376</v>
      </c>
      <c r="E22" s="65" t="str">
        <f>IFERROR(__xludf.DUMMYFUNCTION("IFERROR(INDEX(SORT(TRANSPOSE(FILTER(
  {'통계'!$C$6:$ZU$6; '통계'!$C$19:$ZU$19; '통계'!$C$7:$ZU$7}, 
  ('통계'!$C$7:$ZU$7 &gt;= $E$1) * ('통계'!$C$6:$ZU$6 &lt;&gt; $P$1) * ('통계'!$C$6:$ZU$6 &lt;&gt; $P$2) * ('통계'!$C$6:$ZU$6 &lt;&gt; $P$3) * ('통계'!$C$6:$ZU$6 &lt;&gt; $P$4)
)), 2, FALSE, 3, FAL"&amp;"SE), 2, 1), ""-"")"),"조연")</f>
        <v>조연</v>
      </c>
      <c r="F22" s="47">
        <f>IFERROR(__xludf.DUMMYFUNCTION("IFERROR(INDEX(SORT(TRANSPOSE(FILTER(
  {'통계'!$C$6:$ZU$6; '통계'!$C$19:$ZU$19; '통계'!$C$7:$ZU$7}, 
  ('통계'!$C$7:$ZU$7 &gt;= $E$1) * ('통계'!$C$6:$ZU$6 &lt;&gt; $P$1) * ('통계'!$C$6:$ZU$6 &lt;&gt; $P$2) * ('통계'!$C$6:$ZU$6 &lt;&gt; $P$3) * ('통계'!$C$6:$ZU$6 &lt;&gt; $P$4)
)), 2, FALSE, 3, FAL"&amp;"SE), 2, 2), ""-"")"),-17.40000000000001)</f>
        <v>-17.4</v>
      </c>
      <c r="G22" s="82" t="str">
        <f>IFERROR(__xludf.DUMMYFUNCTION("IFERROR(INDEX(SORT(TRANSPOSE(FILTER(
  {'통계'!$C$6:$ZU$6; '통계'!$C$19:$ZU$19; '통계'!$C$7:$ZU$7}, 
  ('통계'!$C$7:$ZU$7 &gt;= $E$1) * ('통계'!$C$6:$ZU$6 &lt;&gt; $P$1) * ('통계'!$C$6:$ZU$6 &lt;&gt; $P$2) * ('통계'!$C$6:$ZU$6 &lt;&gt; $P$3) * ('통계'!$C$6:$ZU$6 &lt;&gt; $P$4)
)), 2, FALSE, 3, FAL"&amp;"SE), 3, 1), ""-"")"),"DM")</f>
        <v>DM</v>
      </c>
      <c r="H22" s="47">
        <f>IFERROR(__xludf.DUMMYFUNCTION("IFERROR(INDEX(SORT(TRANSPOSE(FILTER(
  {'통계'!$C$6:$ZU$6; '통계'!$C$19:$ZU$19; '통계'!$C$7:$ZU$7}, 
  ('통계'!$C$7:$ZU$7 &gt;= $E$1) * ('통계'!$C$6:$ZU$6 &lt;&gt; $P$1) * ('통계'!$C$6:$ZU$6 &lt;&gt; $P$2) * ('통계'!$C$6:$ZU$6 &lt;&gt; $P$3) * ('통계'!$C$6:$ZU$6 &lt;&gt; $P$4)
)), 2, FALSE, 3, FAL"&amp;"SE), 3, 2), ""-"")"),-56.2)</f>
        <v>-56.2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62" t="s">
        <v>102</v>
      </c>
      <c r="B23" s="56" t="s">
        <v>65</v>
      </c>
      <c r="C23" s="63" t="str">
        <f>IFERROR(__xludf.DUMMYFUNCTION("IFERROR(INDEX(SORT(TRANSPOSE(FILTER(
  {'통계'!$C$6:$ZU$6; '통계'!$C$20:$ZU$20; '통계'!$C$7:$ZU$7}, 
  ('통계'!$C$7:$ZU$7 &gt;= $E$1) * ('통계'!$C$6:$ZU$6 &lt;&gt; $P$1) * ('통계'!$C$6:$ZU$6 &lt;&gt; $P$2) * ('통계'!$C$6:$ZU$6 &lt;&gt; $P$3) * ('통계'!$C$6:$ZU$6 &lt;&gt; $P$4)
)), 2, FALSE, 3, FAL"&amp;"SE), 1, 1), ""-"")"),"라비")</f>
        <v>라비</v>
      </c>
      <c r="D23" s="39">
        <f>IFERROR(__xludf.DUMMYFUNCTION("IFERROR(INDEX(SORT(TRANSPOSE(FILTER(
  {'통계'!$C$6:$ZU$6; '통계'!$C$20:$ZU$20; '통계'!$C$7:$ZU$7}, 
  ('통계'!$C$7:$ZU$7 &gt;= $E$1) * ('통계'!$C$6:$ZU$6 &lt;&gt; $P$1) * ('통계'!$C$6:$ZU$6 &lt;&gt; $P$2) * ('통계'!$C$6:$ZU$6 &lt;&gt; $P$3) * ('통계'!$C$6:$ZU$6 &lt;&gt; $P$4)
)), 2, FALSE, 3, FAL"&amp;"SE), 1, 2), ""-"")"),10.162162162162161)</f>
        <v>10.16216216</v>
      </c>
      <c r="E23" s="65" t="str">
        <f>IFERROR(__xludf.DUMMYFUNCTION("IFERROR(INDEX(SORT(TRANSPOSE(FILTER(
  {'통계'!$C$6:$ZU$6; '통계'!$C$20:$ZU$20; '통계'!$C$7:$ZU$7}, 
  ('통계'!$C$7:$ZU$7 &gt;= $E$1) * ('통계'!$C$6:$ZU$6 &lt;&gt; $P$1) * ('통계'!$C$6:$ZU$6 &lt;&gt; $P$2) * ('통계'!$C$6:$ZU$6 &lt;&gt; $P$3) * ('통계'!$C$6:$ZU$6 &lt;&gt; $P$4)
)), 2, FALSE, 3, FAL"&amp;"SE), 2, 1), ""-"")"),"조연")</f>
        <v>조연</v>
      </c>
      <c r="F23" s="39">
        <f>IFERROR(__xludf.DUMMYFUNCTION("IFERROR(INDEX(SORT(TRANSPOSE(FILTER(
  {'통계'!$C$6:$ZU$6; '통계'!$C$20:$ZU$20; '통계'!$C$7:$ZU$7}, 
  ('통계'!$C$7:$ZU$7 &gt;= $E$1) * ('통계'!$C$6:$ZU$6 &lt;&gt; $P$1) * ('통계'!$C$6:$ZU$6 &lt;&gt; $P$2) * ('통계'!$C$6:$ZU$6 &lt;&gt; $P$3) * ('통계'!$C$6:$ZU$6 &lt;&gt; $P$4)
)), 2, FALSE, 3, FAL"&amp;"SE), 2, 2), ""-"")"),-0.8700000000000004)</f>
        <v>-0.87</v>
      </c>
      <c r="G23" s="82" t="str">
        <f>IFERROR(__xludf.DUMMYFUNCTION("IFERROR(INDEX(SORT(TRANSPOSE(FILTER(
  {'통계'!$C$6:$ZU$6; '통계'!$C$20:$ZU$20; '통계'!$C$7:$ZU$7}, 
  ('통계'!$C$7:$ZU$7 &gt;= $E$1) * ('통계'!$C$6:$ZU$6 &lt;&gt; $P$1) * ('통계'!$C$6:$ZU$6 &lt;&gt; $P$2) * ('통계'!$C$6:$ZU$6 &lt;&gt; $P$3) * ('통계'!$C$6:$ZU$6 &lt;&gt; $P$4)
)), 2, FALSE, 3, FAL"&amp;"SE), 3, 1), ""-"")"),"고꿍")</f>
        <v>고꿍</v>
      </c>
      <c r="H23" s="39">
        <f>IFERROR(__xludf.DUMMYFUNCTION("IFERROR(INDEX(SORT(TRANSPOSE(FILTER(
  {'통계'!$C$6:$ZU$6; '통계'!$C$20:$ZU$20; '통계'!$C$7:$ZU$7}, 
  ('통계'!$C$7:$ZU$7 &gt;= $E$1) * ('통계'!$C$6:$ZU$6 &lt;&gt; $P$1) * ('통계'!$C$6:$ZU$6 &lt;&gt; $P$2) * ('통계'!$C$6:$ZU$6 &lt;&gt; $P$3) * ('통계'!$C$6:$ZU$6 &lt;&gt; $P$4)
)), 2, FALSE, 3, FAL"&amp;"SE), 3, 2), ""-"")"),-3.447368421052633)</f>
        <v>-3.447368421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62" t="s">
        <v>103</v>
      </c>
      <c r="B24" s="56" t="s">
        <v>104</v>
      </c>
      <c r="C24" s="63" t="str">
        <f>IFERROR(__xludf.DUMMYFUNCTION("IFERROR(INDEX(SORT(TRANSPOSE(FILTER(
  {'통계'!$C$6:$ZU$6; '통계'!$C$17:$ZU$17; '통계'!$C$7:$ZU$7}, 
  ('통계'!$C$7:$ZU$7 &gt;= $E$1) * ('통계'!$C$6:$ZU$6 &lt;&gt; $P$1) * ('통계'!$C$6:$ZU$6 &lt;&gt; $P$2) * ('통계'!$C$6:$ZU$6 &lt;&gt; $P$3) * ('통계'!$C$6:$ZU$6 &lt;&gt; $P$4)
)), 2, FALSE, 3, FAL"&amp;"SE), 1, 1), ""-"")"),"라비")</f>
        <v>라비</v>
      </c>
      <c r="D24" s="42">
        <f>IFERROR(__xludf.DUMMYFUNCTION("IFERROR(INDEX(SORT(TRANSPOSE(FILTER(
  {'통계'!$C$6:$ZU$6; '통계'!$C$17:$ZU$17; '통계'!$C$7:$ZU$7}, 
  ('통계'!$C$7:$ZU$7 &gt;= $E$1) * ('통계'!$C$6:$ZU$6 &lt;&gt; $P$1) * ('통계'!$C$6:$ZU$6 &lt;&gt; $P$2) * ('통계'!$C$6:$ZU$6 &lt;&gt; $P$3) * ('통계'!$C$6:$ZU$6 &lt;&gt; $P$4)
)), 2, FALSE, 3, FAL"&amp;"SE), 1, 2), ""-"")"),28810.81081081081)</f>
        <v>28810.81081</v>
      </c>
      <c r="E24" s="65" t="str">
        <f>IFERROR(__xludf.DUMMYFUNCTION("IFERROR(INDEX(SORT(TRANSPOSE(FILTER(
  {'통계'!$C$6:$ZU$6; '통계'!$C$17:$ZU$17; '통계'!$C$7:$ZU$7}, 
  ('통계'!$C$7:$ZU$7 &gt;= $E$1) * ('통계'!$C$6:$ZU$6 &lt;&gt; $P$1) * ('통계'!$C$6:$ZU$6 &lt;&gt; $P$2) * ('통계'!$C$6:$ZU$6 &lt;&gt; $P$3) * ('통계'!$C$6:$ZU$6 &lt;&gt; $P$4)
)), 2, FALSE, 3, FAL"&amp;"SE), 2, 1), ""-"")"),"DM")</f>
        <v>DM</v>
      </c>
      <c r="F24" s="42">
        <f>IFERROR(__xludf.DUMMYFUNCTION("IFERROR(INDEX(SORT(TRANSPOSE(FILTER(
  {'통계'!$C$6:$ZU$6; '통계'!$C$17:$ZU$17; '통계'!$C$7:$ZU$7}, 
  ('통계'!$C$7:$ZU$7 &gt;= $E$1) * ('통계'!$C$6:$ZU$6 &lt;&gt; $P$1) * ('통계'!$C$6:$ZU$6 &lt;&gt; $P$2) * ('통계'!$C$6:$ZU$6 &lt;&gt; $P$3) * ('통계'!$C$6:$ZU$6 &lt;&gt; $P$4)
)), 2, FALSE, 3, FAL"&amp;"SE), 2, 2), ""-"")"),26983.333333333332)</f>
        <v>26983.33333</v>
      </c>
      <c r="G24" s="82" t="str">
        <f>IFERROR(__xludf.DUMMYFUNCTION("IFERROR(INDEX(SORT(TRANSPOSE(FILTER(
  {'통계'!$C$6:$ZU$6; '통계'!$C$17:$ZU$17; '통계'!$C$7:$ZU$7}, 
  ('통계'!$C$7:$ZU$7 &gt;= $E$1) * ('통계'!$C$6:$ZU$6 &lt;&gt; $P$1) * ('통계'!$C$6:$ZU$6 &lt;&gt; $P$2) * ('통계'!$C$6:$ZU$6 &lt;&gt; $P$3) * ('통계'!$C$6:$ZU$6 &lt;&gt; $P$4)
)), 2, FALSE, 3, FAL"&amp;"SE), 3, 1), ""-"")"),"조연")</f>
        <v>조연</v>
      </c>
      <c r="H24" s="42">
        <f>IFERROR(__xludf.DUMMYFUNCTION("IFERROR(INDEX(SORT(TRANSPOSE(FILTER(
  {'통계'!$C$6:$ZU$6; '통계'!$C$17:$ZU$17; '통계'!$C$7:$ZU$7}, 
  ('통계'!$C$7:$ZU$7 &gt;= $E$1) * ('통계'!$C$6:$ZU$6 &lt;&gt; $P$1) * ('통계'!$C$6:$ZU$6 &lt;&gt; $P$2) * ('통계'!$C$6:$ZU$6 &lt;&gt; $P$3) * ('통계'!$C$6:$ZU$6 &lt;&gt; $P$4)
)), 2, FALSE, 3, FAL"&amp;"SE), 3, 2), ""-"")"),25130.0)</f>
        <v>25130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62" t="s">
        <v>105</v>
      </c>
      <c r="B25" s="56" t="s">
        <v>69</v>
      </c>
      <c r="C25" s="63" t="str">
        <f>IFERROR(__xludf.DUMMYFUNCTION("IFERROR(INDEX(QUERY(TRANSPOSE('통계'!$C$6:AA$8), ""select Col1 where Col2 &gt;= ""&amp;$E$1&amp;"" and Col1 != '""&amp;$P$1&amp;""' and Col1 != '""&amp;$P$2&amp;""' and Col1 != '""&amp;$P$3&amp;""' and Col1 != '""&amp;$P$4&amp;""' order by Col3 desc, Col2 desc limit 1""), 1, 1), ""-"")"),"라비")</f>
        <v>라비</v>
      </c>
      <c r="D25" s="83" t="str">
        <f>IFERROR(__xludf.DUMMYFUNCTION("LET(값, IFERROR(INDEX(QUERY(TRANSPOSE('통계'!$C$6:AA$8), ""select Col3 where Col2 &gt;= ""&amp;$E$1&amp;"" and Col1 != '""&amp;$P$1&amp;""' and Col1 != '""&amp;$P$2&amp;""' and Col1 != '""&amp;$P$3&amp;""' and Col1 != '""&amp;$P$4&amp;""' order by Col3 desc, Col2 desc limit 1""), 1, 1), ""-""), IF(값="&amp;"0, ""-"", 값))"),"0.351")</f>
        <v>0.351</v>
      </c>
      <c r="E25" s="65" t="str">
        <f>IFERROR(__xludf.DUMMYFUNCTION("IFERROR(INDEX(QUERY(TRANSPOSE('통계'!$C$6:AA$8), ""select Col1 where Col2 &gt;= ""&amp;$E$1&amp;"" and Col1 != '""&amp;$P$1&amp;""' and Col1 != '""&amp;$P$2&amp;""' and Col1 != '""&amp;$P$3&amp;""' and Col1 != '""&amp;$P$4&amp;""' order by Col3 desc, Col2 desc limit 1 offset 1""), 1, 1), ""-"")"),"고꿍")</f>
        <v>고꿍</v>
      </c>
      <c r="F25" s="83" t="str">
        <f>IFERROR(__xludf.DUMMYFUNCTION("LET(값, IFERROR(INDEX(QUERY(TRANSPOSE('통계'!$C$6:AA$8), ""select Col3 where Col2 &gt;= ""&amp;$E$1&amp;"" and Col1 != '""&amp;$P$1&amp;""' and Col1 != '""&amp;$P$2&amp;""' and Col1 != '""&amp;$P$3&amp;""' and Col1 != '""&amp;$P$4&amp;""' order by Col3 desc, Col2 desc limit 1 offset 1""), 1, 1), ""-"&amp;"""), IF(값=0, ""-"", 값))"),"0.263")</f>
        <v>0.263</v>
      </c>
      <c r="G25" s="82" t="str">
        <f>IFERROR(__xludf.DUMMYFUNCTION("IFERROR(INDEX(QUERY(TRANSPOSE('통계'!$C$6:AA$8), ""select Col1 where Col2 &gt;= ""&amp;$E$1&amp;"" and Col1 != '""&amp;$P$1&amp;""' and Col1 != '""&amp;$P$2&amp;""' and Col1 != '""&amp;$P$3&amp;""' and Col1 != '""&amp;$P$4&amp;""' order by Col3 desc, Col2 desc limit 1 offset 2""), 1, 1), ""-"")"),"조연")</f>
        <v>조연</v>
      </c>
      <c r="H25" s="83" t="str">
        <f>IFERROR(__xludf.DUMMYFUNCTION("LET(값, IFERROR(INDEX(QUERY(TRANSPOSE('통계'!$C$6:AA$8), ""select Col3 where Col2 &gt;= ""&amp;$E$1&amp;"" and Col1 != '""&amp;$P$1&amp;""' and Col1 != '""&amp;$P$2&amp;""' and Col1 != '""&amp;$P$3&amp;""' and Col1 != '""&amp;$P$4&amp;""' order by Col3 desc, Col2 desc limit 1 offset 2""), 1, 1), ""-"&amp;"""), IF(값=0, ""-"", 값))"),"0.200")</f>
        <v>0.200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84" t="s">
        <v>106</v>
      </c>
      <c r="B26" s="75" t="s">
        <v>72</v>
      </c>
      <c r="C26" s="63" t="str">
        <f>IFERROR(__xludf.DUMMYFUNCTION("IFERROR(INDEX(SORT(TRANSPOSE(FILTER(
  {'통계'!$C$6:$ZU$6; '통계'!$C$11:$ZU$11; '통계'!$C$7:$ZU$7}, 
  ('통계'!$C$7:$ZU$7 &gt;= $E$1) * ('통계'!$C$6:$ZU$6 &lt;&gt; $P$1) * ('통계'!$C$6:$ZU$6 &lt;&gt; $P$2) * ('통계'!$C$6:$ZU$6 &lt;&gt; $P$3) * ('통계'!$C$6:$ZU$6 &lt;&gt; $P$4)
)), 2, FALSE, 3, FAL"&amp;"SE), 1, 1), ""-"")"),"고꿍")</f>
        <v>고꿍</v>
      </c>
      <c r="D26" s="83">
        <f>IFERROR(__xludf.DUMMYFUNCTION("IFERROR(INDEX(SORT(TRANSPOSE(FILTER(
  {'통계'!$C$6:$ZU$6; '통계'!$C$11:$ZU$11; '통계'!$C$7:$ZU$7}, 
  ('통계'!$C$7:$ZU$7 &gt;= $E$1) * ('통계'!$C$6:$ZU$6 &lt;&gt; $P$1) * ('통계'!$C$6:$ZU$6 &lt;&gt; $P$2) * ('통계'!$C$6:$ZU$6 &lt;&gt; $P$3) * ('통계'!$C$6:$ZU$6 &lt;&gt; $P$4)
)), 2, FALSE, 3, FAL"&amp;"SE), 1, 2), ""-"")"),0.42105263157894735)</f>
        <v>0.4210526316</v>
      </c>
      <c r="E26" s="65" t="str">
        <f>IFERROR(__xludf.DUMMYFUNCTION("IFERROR(INDEX(SORT(TRANSPOSE(FILTER(
  {'통계'!$C$6:$ZU$6; '통계'!$C$11:$ZU$11; '통계'!$C$7:$ZU$7}, 
  ('통계'!$C$7:$ZU$7 &gt;= $E$1) * ('통계'!$C$6:$ZU$6 &lt;&gt; $P$1) * ('통계'!$C$6:$ZU$6 &lt;&gt; $P$2) * ('통계'!$C$6:$ZU$6 &lt;&gt; $P$3) * ('통계'!$C$6:$ZU$6 &lt;&gt; $P$4)
)), 2, FALSE, 3, FAL"&amp;"SE), 2, 1), ""-"")"),"절미")</f>
        <v>절미</v>
      </c>
      <c r="F26" s="83">
        <f>IFERROR(__xludf.DUMMYFUNCTION("IFERROR(INDEX(SORT(TRANSPOSE(FILTER(
  {'통계'!$C$6:$ZU$6; '통계'!$C$11:$ZU$11; '통계'!$C$7:$ZU$7}, 
  ('통계'!$C$7:$ZU$7 &gt;= $E$1) * ('통계'!$C$6:$ZU$6 &lt;&gt; $P$1) * ('통계'!$C$6:$ZU$6 &lt;&gt; $P$2) * ('통계'!$C$6:$ZU$6 &lt;&gt; $P$3) * ('통계'!$C$6:$ZU$6 &lt;&gt; $P$4)
)), 2, FALSE, 3, FAL"&amp;"SE), 2, 2), ""-"")"),0.35714285714285715)</f>
        <v>0.3571428571</v>
      </c>
      <c r="G26" s="82" t="str">
        <f>IFERROR(__xludf.DUMMYFUNCTION("IFERROR(INDEX(SORT(TRANSPOSE(FILTER(
  {'통계'!$C$6:$ZU$6; '통계'!$C$11:$ZU$11; '통계'!$C$7:$ZU$7}, 
  ('통계'!$C$7:$ZU$7 &gt;= $E$1) * ('통계'!$C$6:$ZU$6 &lt;&gt; $P$1) * ('통계'!$C$6:$ZU$6 &lt;&gt; $P$2) * ('통계'!$C$6:$ZU$6 &lt;&gt; $P$3) * ('통계'!$C$6:$ZU$6 &lt;&gt; $P$4)
)), 2, FALSE, 3, FAL"&amp;"SE), 3, 1), ""-"")"),"조연")</f>
        <v>조연</v>
      </c>
      <c r="H26" s="83">
        <f>IFERROR(__xludf.DUMMYFUNCTION("IFERROR(INDEX(SORT(TRANSPOSE(FILTER(
  {'통계'!$C$6:$ZU$6; '통계'!$C$11:$ZU$11; '통계'!$C$7:$ZU$7}, 
  ('통계'!$C$7:$ZU$7 &gt;= $E$1) * ('통계'!$C$6:$ZU$6 &lt;&gt; $P$1) * ('통계'!$C$6:$ZU$6 &lt;&gt; $P$2) * ('통계'!$C$6:$ZU$6 &lt;&gt; $P$3) * ('통계'!$C$6:$ZU$6 &lt;&gt; $P$4)
)), 2, FALSE, 3, FAL"&amp;"SE), 3, 2), ""-"")"),0.3)</f>
        <v>0.3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62" t="s">
        <v>107</v>
      </c>
      <c r="B27" s="56" t="s">
        <v>108</v>
      </c>
      <c r="C27" s="63" t="str">
        <f>IFERROR(__xludf.DUMMYFUNCTION("IFERROR(INDEX(SORT(TRANSPOSE(FILTER(
  {'통계'!$C$6:$ZU$6; '통계'!$C$11:$ZU$11; '통계'!$C$7:$ZU$7}, 
  ('통계'!$C$7:$ZU$7 &gt;= $E$1) * ('통계'!$C$6:$ZU$6 &lt;&gt; $P$1) * ('통계'!$C$6:$ZU$6 &lt;&gt; $P$2) * ('통계'!$C$6:$ZU$6 &lt;&gt; $P$3) * ('통계'!$C$6:$ZU$6 &lt;&gt; $P$4)
)), 2, TRUE, 3, FALS"&amp;"E), 1, 1), ""-"")"),"라비")</f>
        <v>라비</v>
      </c>
      <c r="D27" s="83">
        <f>IFERROR(__xludf.DUMMYFUNCTION("IFERROR(INDEX(SORT(TRANSPOSE(FILTER(
  {'통계'!$C$6:$ZU$6; '통계'!$C$11:$ZU$11; '통계'!$C$7:$ZU$7}, 
  ('통계'!$C$7:$ZU$7 &gt;= $E$1) * ('통계'!$C$6:$ZU$6 &lt;&gt; $P$1) * ('통계'!$C$6:$ZU$6 &lt;&gt; $P$2) * ('통계'!$C$6:$ZU$6 &lt;&gt; $P$3) * ('통계'!$C$6:$ZU$6 &lt;&gt; $P$4)
)), 2, TRUE, 3, FALS"&amp;"E), 1, 2), ""-"")"),0.10810810810810811)</f>
        <v>0.1081081081</v>
      </c>
      <c r="E27" s="65" t="str">
        <f>IFERROR(__xludf.DUMMYFUNCTION("IFERROR(INDEX(SORT(TRANSPOSE(FILTER(
  {'통계'!$C$6:$ZU$6; '통계'!$C$11:$ZU$11; '통계'!$C$7:$ZU$7}, 
  ('통계'!$C$7:$ZU$7 &gt;= $E$1) * ('통계'!$C$6:$ZU$6 &lt;&gt; $P$1) * ('통계'!$C$6:$ZU$6 &lt;&gt; $P$2) * ('통계'!$C$6:$ZU$6 &lt;&gt; $P$3) * ('통계'!$C$6:$ZU$6 &lt;&gt; $P$4)
)), 2, TRUE, 3, FALS"&amp;"E), 2, 1), ""-"")"),"노세")</f>
        <v>노세</v>
      </c>
      <c r="F27" s="83">
        <f>IFERROR(__xludf.DUMMYFUNCTION("IFERROR(INDEX(SORT(TRANSPOSE(FILTER(
  {'통계'!$C$6:$ZU$6; '통계'!$C$11:$ZU$11; '통계'!$C$7:$ZU$7}, 
  ('통계'!$C$7:$ZU$7 &gt;= $E$1) * ('통계'!$C$6:$ZU$6 &lt;&gt; $P$1) * ('통계'!$C$6:$ZU$6 &lt;&gt; $P$2) * ('통계'!$C$6:$ZU$6 &lt;&gt; $P$3) * ('통계'!$C$6:$ZU$6 &lt;&gt; $P$4)
)), 2, TRUE, 3, FALS"&amp;"E), 2, 2), ""-"")"),0.16666666666666666)</f>
        <v>0.1666666667</v>
      </c>
      <c r="G27" s="82" t="str">
        <f>IFERROR(__xludf.DUMMYFUNCTION("IFERROR(INDEX(SORT(TRANSPOSE(FILTER(
  {'통계'!$C$6:$ZU$6; '통계'!$C$11:$ZU$11; '통계'!$C$7:$ZU$7}, 
  ('통계'!$C$7:$ZU$7 &gt;= $E$1) * ('통계'!$C$6:$ZU$6 &lt;&gt; $P$1) * ('통계'!$C$6:$ZU$6 &lt;&gt; $P$2) * ('통계'!$C$6:$ZU$6 &lt;&gt; $P$3) * ('통계'!$C$6:$ZU$6 &lt;&gt; $P$4)
)), 2, TRUE, 3, FALS"&amp;"E), 3, 1), ""-"")"),"DM")</f>
        <v>DM</v>
      </c>
      <c r="H27" s="83">
        <f>IFERROR(__xludf.DUMMYFUNCTION("IFERROR(INDEX(SORT(TRANSPOSE(FILTER(
  {'통계'!$C$6:$ZU$6; '통계'!$C$11:$ZU$11; '통계'!$C$7:$ZU$7}, 
  ('통계'!$C$7:$ZU$7 &gt;= $E$1) * ('통계'!$C$6:$ZU$6 &lt;&gt; $P$1) * ('통계'!$C$6:$ZU$6 &lt;&gt; $P$2) * ('통계'!$C$6:$ZU$6 &lt;&gt; $P$3) * ('통계'!$C$6:$ZU$6 &lt;&gt; $P$4)
)), 2, TRUE, 3, FALS"&amp;"E), 3, 2), ""-"")"),0.25)</f>
        <v>0.25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62" t="s">
        <v>109</v>
      </c>
      <c r="B28" s="56" t="s">
        <v>74</v>
      </c>
      <c r="C28" s="63" t="str">
        <f>IFERROR(__xludf.DUMMYFUNCTION("IFERROR(INDEX(SORT(TRANSPOSE(FILTER(
  {'통계'!$C$6:$ZU$6; '통계'!$C$13:$ZU$13; '통계'!$C$7:$ZU$7}, 
  ('통계'!$C$7:$ZU$7 &gt;= $E$1) * ('통계'!$C$6:$ZU$6 &lt;&gt; $P$1) * ('통계'!$C$6:$ZU$6 &lt;&gt; $P$2) * ('통계'!$C$6:$ZU$6 &lt;&gt; $P$3) * ('통계'!$C$6:$ZU$6 &lt;&gt; $P$4)
)), 2, FALSE, 3, FAL"&amp;"SE), 1, 1), ""-"")"),"라비")</f>
        <v>라비</v>
      </c>
      <c r="D28" s="83">
        <f>IFERROR(__xludf.DUMMYFUNCTION("IFERROR(INDEX(SORT(TRANSPOSE(FILTER(
  {'통계'!$C$6:$ZU$6; '통계'!$C$13:$ZU$13; '통계'!$C$7:$ZU$7}, 
  ('통계'!$C$7:$ZU$7 &gt;= $E$1) * ('통계'!$C$6:$ZU$6 &lt;&gt; $P$1) * ('통계'!$C$6:$ZU$6 &lt;&gt; $P$2) * ('통계'!$C$6:$ZU$6 &lt;&gt; $P$3) * ('통계'!$C$6:$ZU$6 &lt;&gt; $P$4)
)), 2, FALSE, 3, FAL"&amp;"SE), 1, 2), ""-"")"),0.5945945945945946)</f>
        <v>0.5945945946</v>
      </c>
      <c r="E28" s="65" t="str">
        <f>IFERROR(__xludf.DUMMYFUNCTION("IFERROR(INDEX(SORT(TRANSPOSE(FILTER(
  {'통계'!$C$6:$ZU$6; '통계'!$C$13:$ZU$13; '통계'!$C$7:$ZU$7}, 
  ('통계'!$C$7:$ZU$7 &gt;= $E$1) * ('통계'!$C$6:$ZU$6 &lt;&gt; $P$1) * ('통계'!$C$6:$ZU$6 &lt;&gt; $P$2) * ('통계'!$C$6:$ZU$6 &lt;&gt; $P$3) * ('통계'!$C$6:$ZU$6 &lt;&gt; $P$4)
)), 2, FALSE, 3, FAL"&amp;"SE), 2, 1), ""-"")"),"조연")</f>
        <v>조연</v>
      </c>
      <c r="F28" s="83">
        <f>IFERROR(__xludf.DUMMYFUNCTION("IFERROR(INDEX(SORT(TRANSPOSE(FILTER(
  {'통계'!$C$6:$ZU$6; '통계'!$C$13:$ZU$13; '통계'!$C$7:$ZU$7}, 
  ('통계'!$C$7:$ZU$7 &gt;= $E$1) * ('통계'!$C$6:$ZU$6 &lt;&gt; $P$1) * ('통계'!$C$6:$ZU$6 &lt;&gt; $P$2) * ('통계'!$C$6:$ZU$6 &lt;&gt; $P$3) * ('통계'!$C$6:$ZU$6 &lt;&gt; $P$4)
)), 2, FALSE, 3, FAL"&amp;"SE), 2, 2), ""-"")"),0.55)</f>
        <v>0.55</v>
      </c>
      <c r="G28" s="82" t="str">
        <f>IFERROR(__xludf.DUMMYFUNCTION("IFERROR(INDEX(SORT(TRANSPOSE(FILTER(
  {'통계'!$C$6:$ZU$6; '통계'!$C$13:$ZU$13; '통계'!$C$7:$ZU$7}, 
  ('통계'!$C$7:$ZU$7 &gt;= $E$1) * ('통계'!$C$6:$ZU$6 &lt;&gt; $P$1) * ('통계'!$C$6:$ZU$6 &lt;&gt; $P$2) * ('통계'!$C$6:$ZU$6 &lt;&gt; $P$3) * ('통계'!$C$6:$ZU$6 &lt;&gt; $P$4)
)), 2, FALSE, 3, FAL"&amp;"SE), 3, 1), ""-"")"),"고꿍")</f>
        <v>고꿍</v>
      </c>
      <c r="H28" s="83">
        <f>IFERROR(__xludf.DUMMYFUNCTION("IFERROR(INDEX(SORT(TRANSPOSE(FILTER(
  {'통계'!$C$6:$ZU$6; '통계'!$C$13:$ZU$13; '통계'!$C$7:$ZU$7}, 
  ('통계'!$C$7:$ZU$7 &gt;= $E$1) * ('통계'!$C$6:$ZU$6 &lt;&gt; $P$1) * ('통계'!$C$6:$ZU$6 &lt;&gt; $P$2) * ('통계'!$C$6:$ZU$6 &lt;&gt; $P$3) * ('통계'!$C$6:$ZU$6 &lt;&gt; $P$4)
)), 2, FALSE, 3, FAL"&amp;"SE), 3, 2), ""-"")"),0.47368421052631576)</f>
        <v>0.4736842105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62" t="s">
        <v>121</v>
      </c>
      <c r="B29" s="56" t="s">
        <v>111</v>
      </c>
      <c r="C29" s="63" t="str">
        <f>IFERROR(__xludf.DUMMYFUNCTION("IFERROR(INDEX(QUERY(TRANSPOSE({'통계'!$C$6:AA$6; '통계'!$C$7:AA$7; '통계'!$C$12:AA$12}), ""select Col1 where Col2 &gt;= ""&amp;$E$1&amp;"" and Col1 != '""&amp;$P$1&amp;""' and Col1 != '""&amp;$P$2&amp;""' and Col1 != '""&amp;$P$3&amp;""' and Col1 != '""&amp;$P$4&amp;""' order by Col3 asc, Col2 desc limi"&amp;"t 1""), 1, 1), ""-"")"),"노세")</f>
        <v>노세</v>
      </c>
      <c r="D29" s="83" t="str">
        <f>IFERROR(__xludf.DUMMYFUNCTION("LET(값, IFERROR(INDEX(QUERY(TRANSPOSE({'통계'!$C$6:AA$6; '통계'!$C$7:AA$7; '통계'!$C$12:AA$12}), ""select Col3 where Col2 &gt;= ""&amp;$E$1&amp;"" and Col1 != '""&amp;$P$1&amp;""' and Col1 != '""&amp;$P$2&amp;""' and Col1 != '""&amp;$P$3&amp;""' and Col1 != '""&amp;$P$4&amp;""' order by Col3 asc, Col2 de"&amp;"sc limit 1""), 1, 1), ""-""), IF(값=0, ""-"", 값))"),"-")</f>
        <v>-</v>
      </c>
      <c r="E29" s="65" t="str">
        <f>IFERROR(__xludf.DUMMYFUNCTION("IFERROR(INDEX(QUERY(TRANSPOSE({'통계'!$C$6:AA$6; '통계'!$C$7:AA$7; '통계'!$C$12:AA$12}), ""select Col1 where Col2 &gt;= ""&amp;$E$1&amp;"" and Col1 != '""&amp;$P$1&amp;""' and Col1 != '""&amp;$P$2&amp;""' and Col1 != '""&amp;$P$3&amp;""' and Col1 != '""&amp;$P$4&amp;""' order by Col3 asc, Col2 desc limi"&amp;"t 1 offset 1""), 1, 1), ""-"")"),"DM")</f>
        <v>DM</v>
      </c>
      <c r="F29" s="83" t="str">
        <f>IFERROR(__xludf.DUMMYFUNCTION("LET(값, IFERROR(INDEX(QUERY(TRANSPOSE({'통계'!$C$6:AA$6; '통계'!$C$7:AA$7; '통계'!$C$12:AA$12}), ""select Col3 where Col2 &gt;= ""&amp;$E$1&amp;"" and Col1 != '""&amp;$P$1&amp;""' and Col1 != '""&amp;$P$2&amp;""' and Col1 != '""&amp;$P$3&amp;""' and Col1 != '""&amp;$P$4&amp;""' order by Col3 asc, Col2 de"&amp;"sc limit 1 offset 1""), 1, 1), ""-""), IF(값=0, ""-"", 값))"),"-")</f>
        <v>-</v>
      </c>
      <c r="G29" s="82" t="str">
        <f>IFERROR(__xludf.DUMMYFUNCTION("IFERROR(INDEX(QUERY(TRANSPOSE({'통계'!$C$6:AA$6; '통계'!$C$7:AA$7; '통계'!$C$12:AA$12}), ""select Col1 where Col2 &gt;= ""&amp;$E$1&amp;"" and Col1 != '""&amp;$P$1&amp;""' and Col1 != '""&amp;$P$2&amp;""' and Col1 != '""&amp;$P$3&amp;""' and Col1 != '""&amp;$P$4&amp;""' order by Col3 asc, Col2 desc limi"&amp;"t 1 offset 2""), 1, 1), ""-"")"),"라비")</f>
        <v>라비</v>
      </c>
      <c r="H29" s="83" t="str">
        <f>IFERROR(__xludf.DUMMYFUNCTION("LET(값, IFERROR(INDEX(QUERY(TRANSPOSE({'통계'!$C$6:AA$6; '통계'!$C$7:AA$7; '통계'!$C$12:AA$12}), ""select Col3 where Col2 &gt;= ""&amp;$E$1&amp;"" and Col1 != '""&amp;$P$1&amp;""' and Col1 != '""&amp;$P$2&amp;""' and Col1 != '""&amp;$P$3&amp;""' and Col1 != '""&amp;$P$4&amp;""' order by Col3 asc, Col2 de"&amp;"sc limit 1 offset 2""), 1, 1), ""-""), IF(값=0, ""-"", 값))"),"0.027")</f>
        <v>0.027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62" t="s">
        <v>112</v>
      </c>
      <c r="B30" s="56" t="s">
        <v>79</v>
      </c>
      <c r="C30" s="63" t="str">
        <f>IFERROR(__xludf.DUMMYFUNCTION("IFERROR(INDEX(SORT(TRANSPOSE(FILTER(
  {'통계'!$C$6:$ZU$6; '통계'!$C$21:$ZU$21; '통계'!$C$7:$ZU$7}, 
  ('통계'!$C$7:$ZU$7 &gt;= $E$1) * ('통계'!$C$6:$ZU$6 &lt;&gt; $P$1) * ('통계'!$C$6:$ZU$6 &lt;&gt; $P$2) * ('통계'!$C$6:$ZU$6 &lt;&gt; $P$3) * ('통계'!$C$6:$ZU$6 &lt;&gt; $P$4)
)), 2, TRUE, 3, FALS"&amp;"E), 1, 1), ""-"")"),"라비")</f>
        <v>라비</v>
      </c>
      <c r="D30" s="39">
        <f>IFERROR(__xludf.DUMMYFUNCTION("IFERROR(INDEX(SORT(TRANSPOSE(FILTER(
  {'통계'!$C$6:$ZU$6; '통계'!$C$21:$ZU$21; '통계'!$C$7:$ZU$7}, 
  ('통계'!$C$7:$ZU$7 &gt;= $E$1) * ('통계'!$C$6:$ZU$6 &lt;&gt; $P$1) * ('통계'!$C$6:$ZU$6 &lt;&gt; $P$2) * ('통계'!$C$6:$ZU$6 &lt;&gt; $P$3) * ('통계'!$C$6:$ZU$6 &lt;&gt; $P$4)
)), 2, TRUE, 3, FALS"&amp;"E), 1, 2), ""-"")"),2.1621621621621623)</f>
        <v>2.162162162</v>
      </c>
      <c r="E30" s="65" t="str">
        <f>IFERROR(__xludf.DUMMYFUNCTION("IFERROR(INDEX(SORT(TRANSPOSE(FILTER(
  {'통계'!$C$6:$ZU$6; '통계'!$C$21:$ZU$21; '통계'!$C$7:$ZU$7}, 
  ('통계'!$C$7:$ZU$7 &gt;= $E$1) * ('통계'!$C$6:$ZU$6 &lt;&gt; $P$1) * ('통계'!$C$6:$ZU$6 &lt;&gt; $P$2) * ('통계'!$C$6:$ZU$6 &lt;&gt; $P$3) * ('통계'!$C$6:$ZU$6 &lt;&gt; $P$4)
)), 2, TRUE, 3, FALS"&amp;"E), 2, 1), ""-"")"),"조연")</f>
        <v>조연</v>
      </c>
      <c r="F30" s="39">
        <f>IFERROR(__xludf.DUMMYFUNCTION("IFERROR(INDEX(SORT(TRANSPOSE(FILTER(
  {'통계'!$C$6:$ZU$6; '통계'!$C$21:$ZU$21; '통계'!$C$7:$ZU$7}, 
  ('통계'!$C$7:$ZU$7 &gt;= $E$1) * ('통계'!$C$6:$ZU$6 &lt;&gt; $P$1) * ('통계'!$C$6:$ZU$6 &lt;&gt; $P$2) * ('통계'!$C$6:$ZU$6 &lt;&gt; $P$3) * ('통계'!$C$6:$ZU$6 &lt;&gt; $P$4)
)), 2, TRUE, 3, FALS"&amp;"E), 2, 2), ""-"")"),2.55)</f>
        <v>2.55</v>
      </c>
      <c r="G30" s="82" t="str">
        <f>IFERROR(__xludf.DUMMYFUNCTION("IFERROR(INDEX(SORT(TRANSPOSE(FILTER(
  {'통계'!$C$6:$ZU$6; '통계'!$C$21:$ZU$21; '통계'!$C$7:$ZU$7}, 
  ('통계'!$C$7:$ZU$7 &gt;= $E$1) * ('통계'!$C$6:$ZU$6 &lt;&gt; $P$1) * ('통계'!$C$6:$ZU$6 &lt;&gt; $P$2) * ('통계'!$C$6:$ZU$6 &lt;&gt; $P$3) * ('통계'!$C$6:$ZU$6 &lt;&gt; $P$4)
)), 2, TRUE, 3, FALS"&amp;"E), 3, 1), ""-"")"),"노세")</f>
        <v>노세</v>
      </c>
      <c r="H30" s="39">
        <f>IFERROR(__xludf.DUMMYFUNCTION("IFERROR(INDEX(SORT(TRANSPOSE(FILTER(
  {'통계'!$C$6:$ZU$6; '통계'!$C$21:$ZU$21; '통계'!$C$7:$ZU$7}, 
  ('통계'!$C$7:$ZU$7 &gt;= $E$1) * ('통계'!$C$6:$ZU$6 &lt;&gt; $P$1) * ('통계'!$C$6:$ZU$6 &lt;&gt; $P$2) * ('통계'!$C$6:$ZU$6 &lt;&gt; $P$3) * ('통계'!$C$6:$ZU$6 &lt;&gt; $P$4)
)), 2, TRUE, 3, FALS"&amp;"E), 3, 2), ""-"")"),2.5833333333333335)</f>
        <v>2.583333333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62" t="s">
        <v>113</v>
      </c>
      <c r="B31" s="56" t="s">
        <v>114</v>
      </c>
      <c r="C31" s="63" t="str">
        <f>IFERROR(__xludf.DUMMYFUNCTION("IFERROR(INDEX(SORT(TRANSPOSE(FILTER(
  {'통계'!$C$6:$ZU$6; '통계'!$C$15:$ZU$15; '통계'!$C$7:$ZU$7}, 
  ('통계'!$C$7:$ZU$7 &gt;= $E$1) * ('통계'!$C$6:$ZU$6 &lt;&gt; $P$1) * ('통계'!$C$6:$ZU$6 &lt;&gt; $P$2) * ('통계'!$C$6:$ZU$6 &lt;&gt; $P$3) * ('통계'!$C$6:$ZU$6 &lt;&gt; $P$4)
)), 2, FALSE, 3, FAL"&amp;"SE), 1, 1), ""-"")"),"DM")</f>
        <v>DM</v>
      </c>
      <c r="D31" s="42">
        <f>IFERROR(__xludf.DUMMYFUNCTION("IFERROR(INDEX(SORT(TRANSPOSE(FILTER(
  {'통계'!$C$6:$ZU$6; '통계'!$C$15:$ZU$15; '통계'!$C$7:$ZU$7}, 
  ('통계'!$C$7:$ZU$7 &gt;= $E$1) * ('통계'!$C$6:$ZU$6 &lt;&gt; $P$1) * ('통계'!$C$6:$ZU$6 &lt;&gt; $P$2) * ('통계'!$C$6:$ZU$6 &lt;&gt; $P$3) * ('통계'!$C$6:$ZU$6 &lt;&gt; $P$4)
)), 2, FALSE, 3, FAL"&amp;"SE), 1, 2), ""-"")"),74500.0)</f>
        <v>74500</v>
      </c>
      <c r="E31" s="65" t="str">
        <f>IFERROR(__xludf.DUMMYFUNCTION("IFERROR(INDEX(SORT(TRANSPOSE(FILTER(
  {'통계'!$C$6:$ZU$6; '통계'!$C$15:$ZU$15; '통계'!$C$7:$ZU$7}, 
  ('통계'!$C$7:$ZU$7 &gt;= $E$1) * ('통계'!$C$6:$ZU$6 &lt;&gt; $P$1) * ('통계'!$C$6:$ZU$6 &lt;&gt; $P$2) * ('통계'!$C$6:$ZU$6 &lt;&gt; $P$3) * ('통계'!$C$6:$ZU$6 &lt;&gt; $P$4)
)), 2, FALSE, 3, FAL"&amp;"SE), 2, 1), ""-"")"),"절미")</f>
        <v>절미</v>
      </c>
      <c r="F31" s="42">
        <f>IFERROR(__xludf.DUMMYFUNCTION("IFERROR(INDEX(SORT(TRANSPOSE(FILTER(
  {'통계'!$C$6:$ZU$6; '통계'!$C$15:$ZU$15; '통계'!$C$7:$ZU$7}, 
  ('통계'!$C$7:$ZU$7 &gt;= $E$1) * ('통계'!$C$6:$ZU$6 &lt;&gt; $P$1) * ('통계'!$C$6:$ZU$6 &lt;&gt; $P$2) * ('통계'!$C$6:$ZU$6 &lt;&gt; $P$3) * ('통계'!$C$6:$ZU$6 &lt;&gt; $P$4)
)), 2, FALSE, 3, FAL"&amp;"SE), 2, 2), ""-"")"),60000.0)</f>
        <v>60000</v>
      </c>
      <c r="G31" s="82" t="str">
        <f>IFERROR(__xludf.DUMMYFUNCTION("IFERROR(INDEX(SORT(TRANSPOSE(FILTER(
  {'통계'!$C$6:$ZU$6; '통계'!$C$15:$ZU$15; '통계'!$C$7:$ZU$7}, 
  ('통계'!$C$7:$ZU$7 &gt;= $E$1) * ('통계'!$C$6:$ZU$6 &lt;&gt; $P$1) * ('통계'!$C$6:$ZU$6 &lt;&gt; $P$2) * ('통계'!$C$6:$ZU$6 &lt;&gt; $P$3) * ('통계'!$C$6:$ZU$6 &lt;&gt; $P$4)
)), 2, FALSE, 3, FAL"&amp;"SE), 3, 1), ""-"")"),"조연")</f>
        <v>조연</v>
      </c>
      <c r="H31" s="42">
        <f>IFERROR(__xludf.DUMMYFUNCTION("IFERROR(INDEX(SORT(TRANSPOSE(FILTER(
  {'통계'!$C$6:$ZU$6; '통계'!$C$15:$ZU$15; '통계'!$C$7:$ZU$7}, 
  ('통계'!$C$7:$ZU$7 &gt;= $E$1) * ('통계'!$C$6:$ZU$6 &lt;&gt; $P$1) * ('통계'!$C$6:$ZU$6 &lt;&gt; $P$2) * ('통계'!$C$6:$ZU$6 &lt;&gt; $P$3) * ('통계'!$C$6:$ZU$6 &lt;&gt; $P$4)
)), 2, FALSE, 3, FAL"&amp;"SE), 3, 2), ""-"")"),59300.0)</f>
        <v>59300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62" t="s">
        <v>115</v>
      </c>
      <c r="B32" s="75" t="s">
        <v>116</v>
      </c>
      <c r="C32" s="63" t="str">
        <f>IFERROR(__xludf.DUMMYFUNCTION("IFERROR(INDEX(SORT(TRANSPOSE(FILTER(
  {'통계'!$C$6:$ZU$6; '통계'!$C$16:$ZU$16; '통계'!$C$7:$ZU$7}, 
  ('통계'!$C$7:$ZU$7 &gt;= $E$1) * ('통계'!$C$6:$ZU$6 &lt;&gt; $P$1) * ('통계'!$C$6:$ZU$6 &lt;&gt; $P$2) * ('통계'!$C$6:$ZU$6 &lt;&gt; $P$3) * ('통계'!$C$6:$ZU$6 &lt;&gt; $P$4)
)), 2, TRUE, 3, FALS"&amp;"E), 1, 1), ""-"")"),"절미")</f>
        <v>절미</v>
      </c>
      <c r="D32" s="42">
        <f>IFERROR(__xludf.DUMMYFUNCTION("IFERROR(INDEX(SORT(TRANSPOSE(FILTER(
  {'통계'!$C$6:$ZU$6; '통계'!$C$16:$ZU$16; '통계'!$C$7:$ZU$7}, 
  ('통계'!$C$7:$ZU$7 &gt;= $E$1) * ('통계'!$C$6:$ZU$6 &lt;&gt; $P$1) * ('통계'!$C$6:$ZU$6 &lt;&gt; $P$2) * ('통계'!$C$6:$ZU$6 &lt;&gt; $P$3) * ('통계'!$C$6:$ZU$6 &lt;&gt; $P$4)
)), 2, TRUE, 3, FALS"&amp;"E), 1, 2), ""-"")"),-5700.0)</f>
        <v>-5700</v>
      </c>
      <c r="E32" s="65" t="str">
        <f>IFERROR(__xludf.DUMMYFUNCTION("IFERROR(INDEX(SORT(TRANSPOSE(FILTER(
  {'통계'!$C$6:$ZU$6; '통계'!$C$16:$ZU$16; '통계'!$C$7:$ZU$7}, 
  ('통계'!$C$7:$ZU$7 &gt;= $E$1) * ('통계'!$C$6:$ZU$6 &lt;&gt; $P$1) * ('통계'!$C$6:$ZU$6 &lt;&gt; $P$2) * ('통계'!$C$6:$ZU$6 &lt;&gt; $P$3) * ('통계'!$C$6:$ZU$6 &lt;&gt; $P$4)
)), 2, TRUE, 3, FALS"&amp;"E), 2, 1), ""-"")"),"라비")</f>
        <v>라비</v>
      </c>
      <c r="F32" s="42">
        <f>IFERROR(__xludf.DUMMYFUNCTION("IFERROR(INDEX(SORT(TRANSPOSE(FILTER(
  {'통계'!$C$6:$ZU$6; '통계'!$C$16:$ZU$16; '통계'!$C$7:$ZU$7}, 
  ('통계'!$C$7:$ZU$7 &gt;= $E$1) * ('통계'!$C$6:$ZU$6 &lt;&gt; $P$1) * ('통계'!$C$6:$ZU$6 &lt;&gt; $P$2) * ('통계'!$C$6:$ZU$6 &lt;&gt; $P$3) * ('통계'!$C$6:$ZU$6 &lt;&gt; $P$4)
)), 2, TRUE, 3, FALS"&amp;"E), 2, 2), ""-"")"),-3000.0)</f>
        <v>-3000</v>
      </c>
      <c r="G32" s="82" t="str">
        <f>IFERROR(__xludf.DUMMYFUNCTION("IFERROR(INDEX(SORT(TRANSPOSE(FILTER(
  {'통계'!$C$6:$ZU$6; '통계'!$C$16:$ZU$16; '통계'!$C$7:$ZU$7}, 
  ('통계'!$C$7:$ZU$7 &gt;= $E$1) * ('통계'!$C$6:$ZU$6 &lt;&gt; $P$1) * ('통계'!$C$6:$ZU$6 &lt;&gt; $P$2) * ('통계'!$C$6:$ZU$6 &lt;&gt; $P$3) * ('통계'!$C$6:$ZU$6 &lt;&gt; $P$4)
)), 2, TRUE, 3, FALS"&amp;"E), 3, 1), ""-"")"),"조연")</f>
        <v>조연</v>
      </c>
      <c r="H32" s="42">
        <f>IFERROR(__xludf.DUMMYFUNCTION("IFERROR(INDEX(SORT(TRANSPOSE(FILTER(
  {'통계'!$C$6:$ZU$6; '통계'!$C$16:$ZU$16; '통계'!$C$7:$ZU$7}, 
  ('통계'!$C$7:$ZU$7 &gt;= $E$1) * ('통계'!$C$6:$ZU$6 &lt;&gt; $P$1) * ('통계'!$C$6:$ZU$6 &lt;&gt; $P$2) * ('통계'!$C$6:$ZU$6 &lt;&gt; $P$3) * ('통계'!$C$6:$ZU$6 &lt;&gt; $P$4)
)), 2, TRUE, 3, FALS"&amp;"E), 3, 2), ""-"")"),-2600.0)</f>
        <v>-2600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62" t="s">
        <v>117</v>
      </c>
      <c r="B33" s="56" t="s">
        <v>118</v>
      </c>
      <c r="C33" s="63" t="str">
        <f>IFERROR(__xludf.DUMMYFUNCTION("IFERROR(INDEX(SORT(LET(날짜,'기록'!A:A,이름,'기록'!D:D,점수,'기록'!E:E,순위,'기록'!F:F,목표연도,TO_TEXT('통계'!$A$2),최소판수,$E$1,제외명단,$P$1:$P$4,데이터연도,ARRAYFORMULA(LEFT(TO_TEXT(날짜),4)),연도조건,IF(목표연도=""전체"",TRUE,데이터연도=목표연도),전체이름,FILTER(이름,연도조건),조건,(순위=2)*연도조건*ISNA(MATCH(이름,제외명단,0))"&amp;",필터링,FILTER({이름,점수},조건),판수,MAP(INDEX(필터링,,1),LAMBDA(x,COUNTIF(전체이름,x))),최종데이터,FILTER(필터링,판수&gt;=최소판수),최종데이터),2,FALSE),1,1),""-"")"),"라비")</f>
        <v>라비</v>
      </c>
      <c r="D33" s="42">
        <f>IFERROR(__xludf.DUMMYFUNCTION("IFERROR(INDEX(SORT(LET(날짜,'기록'!A:A,이름,'기록'!D:D,점수,'기록'!E:E,순위,'기록'!F:F,목표연도,TO_TEXT('통계'!$A$2),최소판수,$E$1,제외명단,$P$1:$P$4,데이터연도,ARRAYFORMULA(LEFT(TO_TEXT(날짜),4)),연도조건,IF(목표연도=""전체"",TRUE,데이터연도=목표연도),전체이름,FILTER(이름,연도조건),조건,(순위=2)*연도조건*ISNA(MATCH(이름,제외명단,0))"&amp;",필터링,FILTER({이름,점수},조건),판수,MAP(INDEX(필터링,,1),LAMBDA(x,COUNTIF(전체이름,x))),최종데이터,FILTER(필터링,판수&gt;=최소판수),최종데이터),2,FALSE),1,2),""-"")"),38000.0)</f>
        <v>38000</v>
      </c>
      <c r="E33" s="65" t="str">
        <f>IFERROR(__xludf.DUMMYFUNCTION("IFERROR(INDEX(SORT(LET(날짜,'기록'!A:A,이름,'기록'!D:D,점수,'기록'!E:E,순위,'기록'!F:F,목표연도,TO_TEXT('통계'!$A$2),최소판수,$E$1,제외명단,$P$1:$P$4,데이터연도,ARRAYFORMULA(LEFT(TO_TEXT(날짜),4)),연도조건,IF(목표연도=""전체"",TRUE,데이터연도=목표연도),전체이름,FILTER(이름,연도조건),조건,(순위=2)*연도조건*ISNA(MATCH(이름,제외명단,0))"&amp;",필터링,FILTER({이름,점수},조건),판수,MAP(INDEX(필터링,,1),LAMBDA(x,COUNTIF(전체이름,x))),최종데이터,FILTER(필터링,판수&gt;=최소판수),최종데이터),2,FALSE),2,1),""-"")"),"절미")</f>
        <v>절미</v>
      </c>
      <c r="F33" s="42">
        <f>IFERROR(__xludf.DUMMYFUNCTION("IFERROR(INDEX(SORT(LET(날짜,'기록'!A:A,이름,'기록'!D:D,점수,'기록'!E:E,순위,'기록'!F:F,목표연도,TO_TEXT('통계'!$A$2),최소판수,$E$1,제외명단,$P$1:$P$4,데이터연도,ARRAYFORMULA(LEFT(TO_TEXT(날짜),4)),연도조건,IF(목표연도=""전체"",TRUE,데이터연도=목표연도),전체이름,FILTER(이름,연도조건),조건,(순위=2)*연도조건*ISNA(MATCH(이름,제외명단,0))"&amp;",필터링,FILTER({이름,점수},조건),판수,MAP(INDEX(필터링,,1),LAMBDA(x,COUNTIF(전체이름,x))),최종데이터,FILTER(필터링,판수&gt;=최소판수),최종데이터),2,FALSE),2,2),""-"")"),36600.0)</f>
        <v>36600</v>
      </c>
      <c r="G33" s="82" t="str">
        <f>IFERROR(__xludf.DUMMYFUNCTION("IFERROR(INDEX(SORT(LET(날짜,'기록'!A:A,이름,'기록'!D:D,점수,'기록'!E:E,순위,'기록'!F:F,목표연도,TO_TEXT('통계'!$A$2),최소판수,$E$1,제외명단,$P$1:$P$4,데이터연도,ARRAYFORMULA(LEFT(TO_TEXT(날짜),4)),연도조건,IF(목표연도=""전체"",TRUE,데이터연도=목표연도),전체이름,FILTER(이름,연도조건),조건,(순위=2)*연도조건*ISNA(MATCH(이름,제외명단,0))"&amp;",필터링,FILTER({이름,점수},조건),판수,MAP(INDEX(필터링,,1),LAMBDA(x,COUNTIF(전체이름,x))),최종데이터,FILTER(필터링,판수&gt;=최소판수),최종데이터),2,FALSE),3,1),""-"")"),"고꿍")</f>
        <v>고꿍</v>
      </c>
      <c r="H33" s="42">
        <f>IFERROR(__xludf.DUMMYFUNCTION("IFERROR(INDEX(SORT(LET(날짜,'기록'!A:A,이름,'기록'!D:D,점수,'기록'!E:E,순위,'기록'!F:F,목표연도,TO_TEXT('통계'!$A$2),최소판수,$E$1,제외명단,$P$1:$P$4,데이터연도,ARRAYFORMULA(LEFT(TO_TEXT(날짜),4)),연도조건,IF(목표연도=""전체"",TRUE,데이터연도=목표연도),전체이름,FILTER(이름,연도조건),조건,(순위=2)*연도조건*ISNA(MATCH(이름,제외명단,0))"&amp;",필터링,FILTER({이름,점수},조건),판수,MAP(INDEX(필터링,,1),LAMBDA(x,COUNTIF(전체이름,x))),최종데이터,FILTER(필터링,판수&gt;=최소판수),최종데이터),2,FALSE),3,2),""-"")"),36400.0)</f>
        <v>36400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62" t="s">
        <v>119</v>
      </c>
      <c r="B34" s="75" t="s">
        <v>73</v>
      </c>
      <c r="C34" s="63" t="str">
        <f>IFERROR(__xludf.DUMMYFUNCTION("IFERROR(INDEX(QUERY(TRANSPOSE({'통계'!$C$6:AA$6; '통계'!$C$7:AA$7; '통계'!$C$12:AA$12}), ""select Col1 where Col2 &gt;= ""&amp;$E$1&amp;"" and Col1 != '""&amp;$P$1&amp;""' and Col1 != '""&amp;$P$2&amp;""' and Col1 != '""&amp;$P$3&amp;""' and Col1 != '""&amp;$P$4&amp;""' order by Col3 desc, Col2 desc lim"&amp;"it 1""), 1, 1), ""-"")"),"절미")</f>
        <v>절미</v>
      </c>
      <c r="D34" s="83" t="str">
        <f>IFERROR(__xludf.DUMMYFUNCTION("LET(값, IFERROR(INDEX(QUERY(TRANSPOSE({'통계'!$C$6:AA$6; '통계'!$C$7:AA$7; '통계'!$C$12:AA$12}), ""select Col3 where Col2 &gt;= ""&amp;$E$1&amp;"" and Col1 != '""&amp;$P$1&amp;""' and Col1 != '""&amp;$P$2&amp;""' and Col1 != '""&amp;$P$3&amp;""' and Col1 != '""&amp;$P$4&amp;""' order by Col3 desc, Col2 d"&amp;"esc limit 1""), 1, 1), ""-""), IF(값=0, ""-"", 값))"),"0.107")</f>
        <v>0.107</v>
      </c>
      <c r="E34" s="65" t="str">
        <f>IFERROR(__xludf.DUMMYFUNCTION("IFERROR(INDEX(QUERY(TRANSPOSE({'통계'!$C$6:AA$6; '통계'!$C$7:AA$7; '통계'!$C$12:AA$12}), ""select Col1 where Col2 &gt;= ""&amp;$E$1&amp;"" and Col1 != '""&amp;$P$1&amp;""' and Col1 != '""&amp;$P$2&amp;""' and Col1 != '""&amp;$P$3&amp;""' and Col1 != '""&amp;$P$4&amp;""' order by Col3 desc, Col2 desc lim"&amp;"it 1 offset 1""), 1, 1), ""-"")"),"고꿍")</f>
        <v>고꿍</v>
      </c>
      <c r="F34" s="83" t="str">
        <f>IFERROR(__xludf.DUMMYFUNCTION("LET(값, IFERROR(INDEX(QUERY(TRANSPOSE({'통계'!$C$6:AA$6; '통계'!$C$7:AA$7; '통계'!$C$12:AA$12}), ""select Col3 where Col2 &gt;= ""&amp;$E$1&amp;"" and Col1 != '""&amp;$P$1&amp;""' and Col1 != '""&amp;$P$2&amp;""' and Col1 != '""&amp;$P$3&amp;""' and Col1 != '""&amp;$P$4&amp;""' order by Col3 desc, Col2 d"&amp;"esc limit 1 offset 1""), 1, 1), ""-""), IF(값=0, ""-"", 값))"),"0.053")</f>
        <v>0.053</v>
      </c>
      <c r="G34" s="82" t="str">
        <f>IFERROR(__xludf.DUMMYFUNCTION("IFERROR(INDEX(QUERY(TRANSPOSE({'통계'!$C$6:AA$6; '통계'!$C$7:AA$7; '통계'!$C$12:AA$12}), ""select Col1 where Col2 &gt;= ""&amp;$E$1&amp;"" and Col1 != '""&amp;$P$1&amp;""' and Col1 != '""&amp;$P$2&amp;""' and Col1 != '""&amp;$P$3&amp;""' and Col1 != '""&amp;$P$4&amp;""' order by Col3 desc, Col2 desc lim"&amp;"it 1 offset 2""), 1, 1), ""-"")"),"조연")</f>
        <v>조연</v>
      </c>
      <c r="H34" s="83" t="str">
        <f>IFERROR(__xludf.DUMMYFUNCTION("LET(값, IFERROR(INDEX(QUERY(TRANSPOSE({'통계'!$C$6:AA$6; '통계'!$C$7:AA$7; '통계'!$C$12:AA$12}), ""select Col3 where Col2 &gt;= ""&amp;$E$1&amp;"" and Col1 != '""&amp;$P$1&amp;""' and Col1 != '""&amp;$P$2&amp;""' and Col1 != '""&amp;$P$3&amp;""' and Col1 != '""&amp;$P$4&amp;""' order by Col3 desc, Col2 d"&amp;"esc limit 1 offset 2""), 1, 1), ""-""), IF(값=0, ""-"", 값))"),"0.050")</f>
        <v>0.050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</row>
  </sheetData>
  <mergeCells count="9">
    <mergeCell ref="E20:F20"/>
    <mergeCell ref="G20:H20"/>
    <mergeCell ref="G1:H1"/>
    <mergeCell ref="O1:O4"/>
    <mergeCell ref="C2:D2"/>
    <mergeCell ref="E2:F2"/>
    <mergeCell ref="G2:H2"/>
    <mergeCell ref="G19:H19"/>
    <mergeCell ref="C20:D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88"/>
  </cols>
  <sheetData>
    <row r="1">
      <c r="A1" s="56" t="s">
        <v>122</v>
      </c>
      <c r="B1" s="56" t="s">
        <v>123</v>
      </c>
      <c r="C1" s="56" t="s">
        <v>124</v>
      </c>
    </row>
    <row r="2">
      <c r="A2" s="56" t="s">
        <v>125</v>
      </c>
      <c r="B2" s="51" t="s">
        <v>23</v>
      </c>
      <c r="C2" s="51" t="s">
        <v>8</v>
      </c>
    </row>
    <row r="3">
      <c r="A3" s="15"/>
      <c r="B3" s="15"/>
      <c r="C3" s="15"/>
    </row>
    <row r="4">
      <c r="A4" s="85" t="s">
        <v>126</v>
      </c>
      <c r="B4" s="86" t="s">
        <v>127</v>
      </c>
      <c r="C4" s="59"/>
    </row>
    <row r="5">
      <c r="A5" s="56" t="s">
        <v>68</v>
      </c>
      <c r="B5" s="47">
        <f>IFERROR(HLOOKUP(B$2, '통계'!$C$6:$AAF$30, 2, FALSE), "-")</f>
        <v>0</v>
      </c>
      <c r="C5" s="47">
        <f>IFERROR(HLOOKUP(C$2, '통계'!$C$6:$AAF$30, 2, FALSE), "-")</f>
        <v>28</v>
      </c>
    </row>
    <row r="6">
      <c r="A6" s="56" t="s">
        <v>78</v>
      </c>
      <c r="B6" s="39" t="str">
        <f>IFERROR(HLOOKUP(B$2, '통계'!$C$6:$AAF$30, 15, FALSE), "-")</f>
        <v>-</v>
      </c>
      <c r="C6" s="39">
        <f>IFERROR(HLOOKUP(C$2, '통계'!$C$6:$AAF$30, 15, FALSE), "-")</f>
        <v>-6.178571429</v>
      </c>
    </row>
    <row r="7">
      <c r="A7" s="56" t="s">
        <v>79</v>
      </c>
      <c r="B7" s="39" t="str">
        <f>IFERROR(HLOOKUP(B$2, '통계'!$C$6:$AAF$30, 16, FALSE), "-")</f>
        <v>-</v>
      </c>
      <c r="C7" s="39">
        <f>IFERROR(HLOOKUP(C$2, '통계'!$C$6:$AAF$30, 16, FALSE), "-")</f>
        <v>2.75</v>
      </c>
    </row>
    <row r="8">
      <c r="A8" s="56" t="s">
        <v>104</v>
      </c>
      <c r="B8" s="42" t="str">
        <f>IFERROR(HLOOKUP(B$2, '통계'!$C$6:$AAF$30, 12, FALSE), "-")</f>
        <v>-</v>
      </c>
      <c r="C8" s="42">
        <f>IFERROR(HLOOKUP(C$2, '통계'!$C$6:$AAF$30, 12, FALSE), "-")</f>
        <v>23464.28571</v>
      </c>
    </row>
    <row r="9">
      <c r="A9" s="15"/>
      <c r="B9" s="15"/>
      <c r="C9" s="15"/>
    </row>
    <row r="10">
      <c r="A10" s="85" t="s">
        <v>128</v>
      </c>
      <c r="B10" s="86" t="s">
        <v>129</v>
      </c>
      <c r="C10" s="59"/>
    </row>
    <row r="11">
      <c r="A11" s="56" t="s">
        <v>130</v>
      </c>
      <c r="B11" s="87" t="str">
        <f>IFERROR(__xludf.DUMMYFUNCTION("LET(
  cnt, 
  IFERROR(ROWS(UNIQUE(FILTER('기록'!$B:$B, '기록'!$D:$D=B$2, ISNUMBER(MATCH('기록'!$B:$B, FILTER('기록'!$B:$B, '기록'!$D:$D=C$2), 0))))), 0), 
  IF(cnt=0, ""아직 만난 적 없음"", cnt &amp; ""회"")
)"),"3회")</f>
        <v>3회</v>
      </c>
      <c r="C11" s="59"/>
    </row>
    <row r="12">
      <c r="A12" s="56" t="s">
        <v>131</v>
      </c>
      <c r="B12" s="39" t="str">
        <f>IFERROR(__xludf.DUMMYFUNCTION("LET(
  matches, B$11=""아직 만난 적 없음"",
  myRank, FILTER('기록'!$F:$F, '기록'!$D:$D=B$2, ISNUMBER(MATCH('기록'!$B:$B, FILTER('기록'!$B:$B, '기록'!$D:$D=C$2), 0))),
  oppRank, FILTER('기록'!$F:$F, '기록'!$D:$D=C$2, ISNUMBER(MATCH('기록'!$B:$B, FILTER('기록'!$B:$B, '기록'!$D:$D=B"&amp;"$2), 0))),
  win, SUMPRODUCT(myRank &lt; oppRank),
  loss, SUMPRODUCT(myRank &gt; oppRank),
  IF(matches, ""-"", IF(win &gt; loss, ""🏆 우세"", IF(win &lt; loss, ""열세 😭"", ""🤝 동률"")))
)"),"🏆 우세")</f>
        <v>🏆 우세</v>
      </c>
      <c r="C12" s="39" t="str">
        <f>IFERROR(__xludf.DUMMYFUNCTION("LET(
  matches, B$11=""아직 만난 적 없음"",
  myRank, FILTER('기록'!$F:$F, '기록'!$D:$D=C$2, ISNUMBER(MATCH('기록'!$B:$B, FILTER('기록'!$B:$B, '기록'!$D:$D=B$2), 0))),
  oppRank, FILTER('기록'!$F:$F, '기록'!$D:$D=B$2, ISNUMBER(MATCH('기록'!$B:$B, FILTER('기록'!$B:$B, '기록'!$D:$D=C"&amp;"$2), 0))),
  win, SUMPRODUCT(myRank &lt; oppRank),
  loss, SUMPRODUCT(myRank &gt; oppRank),
  IF(matches, ""-"", IF(win &gt; loss, ""🏆 우세"", IF(win &lt; loss, ""열세 😭"", ""🤝 동률"")))
)"),"열세 😭")</f>
        <v>열세 😭</v>
      </c>
    </row>
    <row r="13">
      <c r="A13" s="56" t="s">
        <v>132</v>
      </c>
      <c r="B13" s="47" t="str">
        <f>IFERROR(__xludf.DUMMYFUNCTION("LET(
  matches, B$11=""아직 만난 적 없음"",
  myRank, FILTER('기록'!$F:$F, '기록'!$D:$D=B$2, ISNUMBER(MATCH('기록'!$B:$B, FILTER('기록'!$B:$B, '기록'!$D:$D=C$2), 0))),
  oppRank, FILTER('기록'!$F:$F, '기록'!$D:$D=C$2, ISNUMBER(MATCH('기록'!$B:$B, FILTER('기록'!$B:$B, '기록'!$D:$D=B"&amp;"$2), 0))),
  win, SUMPRODUCT(myRank &lt; oppRank),
  loss, SUMPRODUCT(myRank &gt; oppRank),
  IF(matches, ""-"", win &amp; ""승 "" &amp; loss &amp; ""패"")
)"),"2승 1패")</f>
        <v>2승 1패</v>
      </c>
      <c r="C13" s="47" t="str">
        <f>IFERROR(__xludf.DUMMYFUNCTION("LET(
  matches, B$11=""아직 만난 적 없음"",
  myRank, FILTER('기록'!$F:$F, '기록'!$D:$D=C$2, ISNUMBER(MATCH('기록'!$B:$B, FILTER('기록'!$B:$B, '기록'!$D:$D=B$2), 0))),
  oppRank, FILTER('기록'!$F:$F, '기록'!$D:$D=B$2, ISNUMBER(MATCH('기록'!$B:$B, FILTER('기록'!$B:$B, '기록'!$D:$D=C"&amp;"$2), 0))),
  win, SUMPRODUCT(myRank &lt; oppRank),
  loss, SUMPRODUCT(myRank &gt; oppRank),
  IF(matches, ""-"", win &amp; ""승 "" &amp; loss &amp; ""패"")
)"),"1승 2패")</f>
        <v>1승 2패</v>
      </c>
    </row>
    <row r="14">
      <c r="A14" s="56" t="s">
        <v>64</v>
      </c>
      <c r="B14" s="39">
        <f>IFERROR(__xludf.DUMMYFUNCTION("IF(B$10=""아직 만난 적 없음"", ""-"", IFERROR(AVERAGE(FILTER('기록'!$F:$F, '기록'!$D:$D=B$2, ISNUMBER(MATCH('기록'!$B:$B, FILTER('기록'!$B:$B, '기록'!$D:$D=C$2), 0)))), ""-""))"),2.6666666666666665)</f>
        <v>2.666666667</v>
      </c>
      <c r="C14" s="39">
        <f>IFERROR(__xludf.DUMMYFUNCTION("IF(B$10=""아직 만난 적 없음"", ""-"", IFERROR(AVERAGE(FILTER('기록'!$F:$F, '기록'!$D:$D=C$2, ISNUMBER(MATCH('기록'!$B:$B, FILTER('기록'!$B:$B, '기록'!$D:$D=B$2), 0)))), ""-""))"),3.0)</f>
        <v>3</v>
      </c>
    </row>
    <row r="15">
      <c r="A15" s="56" t="s">
        <v>65</v>
      </c>
      <c r="B15" s="39">
        <f>IFERROR(__xludf.DUMMYFUNCTION("IF(B$10=""아직 만난 적 없음"", ""-"", IFERROR(AVERAGE(FILTER('기록'!$G:$G, '기록'!$D:$D=B$2, ISNUMBER(MATCH('기록'!$B:$B, FILTER('기록'!$B:$B, '기록'!$D:$D=C$2), 0)))), ""-""))"),-11.266666666666666)</f>
        <v>-11.26666667</v>
      </c>
      <c r="C15" s="39">
        <f>IFERROR(__xludf.DUMMYFUNCTION("IF(B$10=""아직 만난 적 없음"", ""-"", IFERROR(AVERAGE(FILTER('기록'!$G:$G, '기록'!$D:$D=C$2, ISNUMBER(MATCH('기록'!$B:$B, FILTER('기록'!$B:$B, '기록'!$D:$D=B$2), 0)))), ""-""))"),-16.53333333333333)</f>
        <v>-16.53333333</v>
      </c>
    </row>
    <row r="16">
      <c r="A16" s="56" t="s">
        <v>104</v>
      </c>
      <c r="B16" s="42">
        <f>IFERROR(__xludf.DUMMYFUNCTION("IF(B$10=""아직 만난 적 없음"", ""-"", IFERROR(AVERAGE(FILTER('기록'!$E:$E, '기록'!$D:$D=B$2, ISNUMBER(MATCH('기록'!$B:$B, FILTER('기록'!$B:$B, '기록'!$D:$D=C$2), 0)))), ""-""))"),18733.333333333332)</f>
        <v>18733.33333</v>
      </c>
      <c r="C16" s="42">
        <f>IFERROR(__xludf.DUMMYFUNCTION("IF(B$10=""아직 만난 적 없음"", ""-"", IFERROR(AVERAGE(FILTER('기록'!$E:$E, '기록'!$D:$D=C$2, ISNUMBER(MATCH('기록'!$B:$B, FILTER('기록'!$B:$B, '기록'!$D:$D=B$2), 0)))), ""-""))"),23466.666666666668)</f>
        <v>23466.66667</v>
      </c>
    </row>
    <row r="17">
      <c r="A17" s="56" t="s">
        <v>133</v>
      </c>
      <c r="B17" s="87" t="str">
        <f>IFERROR(__xludf.DUMMYFUNCTION("LET(
  matches, B$11=""아직 만난 적 없음"",
  rankA, FILTER('기록'!$F:$F, '기록'!$D:$D=B$2, ISNUMBER(MATCH('기록'!$B:$B, FILTER('기록'!$B:$B, '기록'!$D:$D=C$2), 0))),
  rankB, FILTER('기록'!$F:$F, '기록'!$D:$D=C$2, ISNUMBER(MATCH('기록'!$B:$B, FILTER('기록'!$B:$B, '기록'!$D:$D=B$2)"&amp;", 0))),
  avgSynergy, AVERAGE(rankA) + AVERAGE(rankB),
  title, IF(avgSynergy &lt;= 4.4, ""🔥 환상의 짝꿍"", 
         IF(avgSynergy &lt;= 5.1, ""🤝 평범한 사이"", 
         IF(avgSynergy &lt;= 5.9, ""💣 억제기 듀오"", ""☠️ 지옥의 파티""))),
  IF(matches, ""-"", title &amp; "" (합 "&amp;""" &amp; ROUND(avgSynergy, 2) &amp; "")"")
)"),"💣 억제기 듀오 (합 5.67)")</f>
        <v>💣 억제기 듀오 (합 5.67)</v>
      </c>
      <c r="C17" s="59"/>
      <c r="D17" s="88" t="s">
        <v>134</v>
      </c>
      <c r="E17" s="88" t="s">
        <v>94</v>
      </c>
      <c r="F17" s="88" t="s">
        <v>135</v>
      </c>
    </row>
    <row r="18">
      <c r="D18" s="89" t="s">
        <v>136</v>
      </c>
      <c r="E18" s="89" t="s">
        <v>137</v>
      </c>
      <c r="F18" s="88" t="s">
        <v>138</v>
      </c>
    </row>
    <row r="19">
      <c r="A19" s="15"/>
      <c r="B19" s="15"/>
      <c r="C19" s="15"/>
      <c r="D19" s="89" t="s">
        <v>139</v>
      </c>
      <c r="E19" s="89" t="s">
        <v>140</v>
      </c>
      <c r="F19" s="88" t="s">
        <v>141</v>
      </c>
    </row>
    <row r="20">
      <c r="A20" s="15"/>
      <c r="B20" s="15"/>
      <c r="C20" s="15"/>
      <c r="D20" s="89" t="s">
        <v>142</v>
      </c>
      <c r="E20" s="89" t="s">
        <v>143</v>
      </c>
      <c r="F20" s="88" t="s">
        <v>144</v>
      </c>
    </row>
    <row r="21">
      <c r="A21" s="15"/>
      <c r="B21" s="15"/>
      <c r="C21" s="15"/>
      <c r="D21" s="89" t="s">
        <v>145</v>
      </c>
      <c r="E21" s="89" t="s">
        <v>146</v>
      </c>
      <c r="F21" s="88" t="s">
        <v>147</v>
      </c>
    </row>
    <row r="22">
      <c r="A22" s="15"/>
      <c r="B22" s="15"/>
      <c r="C22" s="15"/>
    </row>
    <row r="23">
      <c r="A23" s="15"/>
      <c r="B23" s="15"/>
      <c r="C23" s="15"/>
    </row>
    <row r="24">
      <c r="A24" s="15"/>
      <c r="B24" s="15"/>
      <c r="C24" s="15"/>
    </row>
    <row r="25">
      <c r="A25" s="15"/>
      <c r="B25" s="15"/>
      <c r="C25" s="15"/>
    </row>
    <row r="26">
      <c r="A26" s="15"/>
      <c r="B26" s="15"/>
      <c r="C26" s="15"/>
    </row>
    <row r="27">
      <c r="A27" s="15"/>
      <c r="B27" s="15"/>
      <c r="C27" s="15"/>
    </row>
    <row r="28">
      <c r="A28" s="15"/>
      <c r="B28" s="15"/>
      <c r="C28" s="15"/>
    </row>
    <row r="29">
      <c r="A29" s="15"/>
      <c r="B29" s="15"/>
      <c r="C29" s="15"/>
    </row>
    <row r="30">
      <c r="A30" s="15"/>
      <c r="B30" s="15"/>
      <c r="C30" s="15"/>
    </row>
    <row r="31">
      <c r="A31" s="15"/>
      <c r="B31" s="15"/>
      <c r="C31" s="15"/>
    </row>
    <row r="32">
      <c r="A32" s="15"/>
      <c r="B32" s="15"/>
      <c r="C32" s="15"/>
    </row>
    <row r="33">
      <c r="A33" s="15"/>
      <c r="B33" s="15"/>
      <c r="C33" s="15"/>
    </row>
    <row r="34">
      <c r="A34" s="15"/>
      <c r="B34" s="15"/>
      <c r="C34" s="15"/>
    </row>
    <row r="35">
      <c r="A35" s="15"/>
      <c r="B35" s="15"/>
      <c r="C35" s="15"/>
    </row>
    <row r="36">
      <c r="A36" s="15"/>
      <c r="B36" s="15"/>
      <c r="C36" s="15"/>
    </row>
    <row r="37">
      <c r="A37" s="15"/>
      <c r="B37" s="15"/>
      <c r="C37" s="15"/>
    </row>
    <row r="38">
      <c r="A38" s="15"/>
      <c r="B38" s="15"/>
      <c r="C38" s="15"/>
    </row>
    <row r="39">
      <c r="A39" s="15"/>
      <c r="B39" s="15"/>
      <c r="C39" s="15"/>
    </row>
    <row r="40">
      <c r="A40" s="15"/>
      <c r="B40" s="15"/>
      <c r="C40" s="15"/>
    </row>
    <row r="41">
      <c r="A41" s="15"/>
      <c r="B41" s="15"/>
      <c r="C41" s="15"/>
    </row>
    <row r="42">
      <c r="A42" s="15"/>
      <c r="B42" s="15"/>
      <c r="C42" s="15"/>
    </row>
    <row r="43">
      <c r="A43" s="15"/>
      <c r="B43" s="15"/>
      <c r="C43" s="15"/>
    </row>
    <row r="44">
      <c r="A44" s="15"/>
      <c r="B44" s="15"/>
      <c r="C44" s="15"/>
    </row>
    <row r="45">
      <c r="A45" s="15"/>
      <c r="B45" s="15"/>
      <c r="C45" s="15"/>
    </row>
    <row r="46">
      <c r="A46" s="15"/>
      <c r="B46" s="15"/>
      <c r="C46" s="15"/>
    </row>
    <row r="47">
      <c r="A47" s="15"/>
      <c r="B47" s="15"/>
      <c r="C47" s="15"/>
    </row>
    <row r="48">
      <c r="A48" s="15"/>
      <c r="B48" s="15"/>
      <c r="C48" s="15"/>
    </row>
    <row r="49">
      <c r="A49" s="15"/>
      <c r="B49" s="15"/>
      <c r="C49" s="15"/>
    </row>
    <row r="50">
      <c r="A50" s="15"/>
      <c r="B50" s="15"/>
      <c r="C50" s="15"/>
    </row>
    <row r="51">
      <c r="A51" s="15"/>
      <c r="B51" s="15"/>
      <c r="C51" s="15"/>
    </row>
    <row r="52">
      <c r="A52" s="15"/>
      <c r="B52" s="15"/>
      <c r="C52" s="15"/>
    </row>
    <row r="53">
      <c r="A53" s="15"/>
      <c r="B53" s="15"/>
      <c r="C53" s="15"/>
    </row>
    <row r="54">
      <c r="A54" s="15"/>
      <c r="B54" s="15"/>
      <c r="C54" s="15"/>
    </row>
    <row r="55">
      <c r="A55" s="15"/>
      <c r="B55" s="15"/>
      <c r="C55" s="15"/>
    </row>
    <row r="56">
      <c r="A56" s="15"/>
      <c r="B56" s="15"/>
      <c r="C56" s="15"/>
    </row>
    <row r="57">
      <c r="A57" s="15"/>
      <c r="B57" s="15"/>
      <c r="C57" s="15"/>
    </row>
    <row r="58">
      <c r="A58" s="15"/>
      <c r="B58" s="15"/>
      <c r="C58" s="15"/>
    </row>
    <row r="59">
      <c r="A59" s="15"/>
      <c r="B59" s="15"/>
      <c r="C59" s="15"/>
    </row>
    <row r="60">
      <c r="A60" s="15"/>
      <c r="B60" s="15"/>
      <c r="C60" s="15"/>
    </row>
    <row r="61">
      <c r="A61" s="15"/>
      <c r="B61" s="15"/>
      <c r="C61" s="15"/>
    </row>
    <row r="62">
      <c r="A62" s="15"/>
      <c r="B62" s="15"/>
      <c r="C62" s="15"/>
    </row>
    <row r="63">
      <c r="A63" s="15"/>
      <c r="B63" s="15"/>
      <c r="C63" s="15"/>
    </row>
    <row r="64">
      <c r="A64" s="15"/>
      <c r="B64" s="15"/>
      <c r="C64" s="15"/>
    </row>
    <row r="65">
      <c r="A65" s="15"/>
      <c r="B65" s="15"/>
      <c r="C65" s="15"/>
    </row>
    <row r="66">
      <c r="A66" s="15"/>
      <c r="B66" s="15"/>
      <c r="C66" s="15"/>
    </row>
    <row r="67">
      <c r="A67" s="15"/>
      <c r="B67" s="15"/>
      <c r="C67" s="15"/>
    </row>
    <row r="68">
      <c r="A68" s="15"/>
      <c r="B68" s="15"/>
      <c r="C68" s="15"/>
    </row>
    <row r="69">
      <c r="A69" s="15"/>
      <c r="B69" s="15"/>
      <c r="C69" s="15"/>
    </row>
    <row r="70">
      <c r="A70" s="15"/>
      <c r="B70" s="15"/>
      <c r="C70" s="15"/>
    </row>
    <row r="71">
      <c r="A71" s="15"/>
      <c r="B71" s="15"/>
      <c r="C71" s="15"/>
    </row>
    <row r="72">
      <c r="A72" s="15"/>
      <c r="B72" s="15"/>
      <c r="C72" s="15"/>
    </row>
    <row r="73">
      <c r="A73" s="15"/>
      <c r="B73" s="15"/>
      <c r="C73" s="15"/>
    </row>
    <row r="74">
      <c r="A74" s="15"/>
      <c r="B74" s="15"/>
      <c r="C74" s="15"/>
    </row>
    <row r="75">
      <c r="A75" s="15"/>
      <c r="B75" s="15"/>
      <c r="C75" s="15"/>
    </row>
    <row r="76">
      <c r="A76" s="15"/>
      <c r="B76" s="15"/>
      <c r="C76" s="15"/>
    </row>
    <row r="77">
      <c r="A77" s="15"/>
      <c r="B77" s="15"/>
      <c r="C77" s="15"/>
    </row>
    <row r="78">
      <c r="A78" s="15"/>
      <c r="B78" s="15"/>
      <c r="C78" s="15"/>
    </row>
    <row r="79">
      <c r="A79" s="15"/>
      <c r="B79" s="15"/>
      <c r="C79" s="15"/>
    </row>
    <row r="80">
      <c r="A80" s="15"/>
      <c r="B80" s="15"/>
      <c r="C80" s="15"/>
    </row>
    <row r="81">
      <c r="A81" s="15"/>
      <c r="B81" s="15"/>
      <c r="C81" s="15"/>
    </row>
    <row r="82">
      <c r="A82" s="15"/>
      <c r="B82" s="15"/>
      <c r="C82" s="15"/>
    </row>
    <row r="83">
      <c r="A83" s="15"/>
      <c r="B83" s="15"/>
      <c r="C83" s="15"/>
    </row>
    <row r="84">
      <c r="A84" s="15"/>
      <c r="B84" s="15"/>
      <c r="C84" s="15"/>
    </row>
    <row r="85">
      <c r="A85" s="15"/>
      <c r="B85" s="15"/>
      <c r="C85" s="15"/>
    </row>
    <row r="86">
      <c r="A86" s="15"/>
      <c r="B86" s="15"/>
      <c r="C86" s="15"/>
    </row>
    <row r="87">
      <c r="A87" s="15"/>
      <c r="B87" s="15"/>
      <c r="C87" s="15"/>
    </row>
    <row r="88">
      <c r="A88" s="15"/>
      <c r="B88" s="15"/>
      <c r="C88" s="15"/>
    </row>
    <row r="89">
      <c r="A89" s="15"/>
      <c r="B89" s="15"/>
      <c r="C89" s="15"/>
    </row>
    <row r="90">
      <c r="A90" s="15"/>
      <c r="B90" s="15"/>
      <c r="C90" s="15"/>
    </row>
    <row r="91">
      <c r="A91" s="15"/>
      <c r="B91" s="15"/>
      <c r="C91" s="15"/>
    </row>
    <row r="92">
      <c r="A92" s="15"/>
      <c r="B92" s="15"/>
      <c r="C92" s="15"/>
    </row>
    <row r="93">
      <c r="A93" s="15"/>
      <c r="B93" s="15"/>
      <c r="C93" s="15"/>
    </row>
    <row r="94">
      <c r="A94" s="15"/>
      <c r="B94" s="15"/>
      <c r="C94" s="15"/>
    </row>
    <row r="95">
      <c r="A95" s="15"/>
      <c r="B95" s="15"/>
      <c r="C95" s="15"/>
    </row>
    <row r="96">
      <c r="A96" s="15"/>
      <c r="B96" s="15"/>
      <c r="C96" s="15"/>
    </row>
    <row r="97">
      <c r="A97" s="15"/>
      <c r="B97" s="15"/>
      <c r="C97" s="15"/>
    </row>
    <row r="98">
      <c r="A98" s="15"/>
      <c r="B98" s="15"/>
      <c r="C98" s="15"/>
    </row>
    <row r="99">
      <c r="A99" s="15"/>
      <c r="B99" s="15"/>
      <c r="C99" s="15"/>
    </row>
    <row r="100">
      <c r="A100" s="15"/>
      <c r="B100" s="15"/>
      <c r="C100" s="15"/>
    </row>
    <row r="101">
      <c r="A101" s="15"/>
      <c r="B101" s="15"/>
      <c r="C101" s="15"/>
    </row>
    <row r="102">
      <c r="A102" s="15"/>
      <c r="B102" s="15"/>
      <c r="C102" s="15"/>
    </row>
    <row r="103">
      <c r="A103" s="15"/>
      <c r="B103" s="15"/>
      <c r="C103" s="15"/>
    </row>
    <row r="104">
      <c r="A104" s="15"/>
      <c r="B104" s="15"/>
      <c r="C104" s="15"/>
    </row>
    <row r="105">
      <c r="A105" s="15"/>
      <c r="B105" s="15"/>
      <c r="C105" s="15"/>
    </row>
    <row r="106">
      <c r="A106" s="15"/>
      <c r="B106" s="15"/>
      <c r="C106" s="15"/>
    </row>
    <row r="107">
      <c r="A107" s="15"/>
      <c r="B107" s="15"/>
      <c r="C107" s="15"/>
    </row>
    <row r="108">
      <c r="A108" s="15"/>
      <c r="B108" s="15"/>
      <c r="C108" s="15"/>
    </row>
    <row r="109">
      <c r="A109" s="15"/>
      <c r="B109" s="15"/>
      <c r="C109" s="15"/>
    </row>
    <row r="110">
      <c r="A110" s="15"/>
      <c r="B110" s="15"/>
      <c r="C110" s="15"/>
    </row>
    <row r="111">
      <c r="A111" s="15"/>
      <c r="B111" s="15"/>
      <c r="C111" s="15"/>
    </row>
    <row r="112">
      <c r="A112" s="15"/>
      <c r="B112" s="15"/>
      <c r="C112" s="15"/>
    </row>
    <row r="113">
      <c r="A113" s="15"/>
      <c r="B113" s="15"/>
      <c r="C113" s="15"/>
    </row>
    <row r="114">
      <c r="A114" s="15"/>
      <c r="B114" s="15"/>
      <c r="C114" s="15"/>
    </row>
    <row r="115">
      <c r="A115" s="15"/>
      <c r="B115" s="15"/>
      <c r="C115" s="15"/>
    </row>
    <row r="116">
      <c r="A116" s="15"/>
      <c r="B116" s="15"/>
      <c r="C116" s="15"/>
    </row>
    <row r="117">
      <c r="A117" s="15"/>
      <c r="B117" s="15"/>
      <c r="C117" s="15"/>
    </row>
    <row r="118">
      <c r="A118" s="15"/>
      <c r="B118" s="15"/>
      <c r="C118" s="15"/>
    </row>
    <row r="119">
      <c r="A119" s="15"/>
      <c r="B119" s="15"/>
      <c r="C119" s="15"/>
    </row>
    <row r="120">
      <c r="A120" s="15"/>
      <c r="B120" s="15"/>
      <c r="C120" s="15"/>
    </row>
    <row r="121">
      <c r="A121" s="15"/>
      <c r="B121" s="15"/>
      <c r="C121" s="15"/>
    </row>
    <row r="122">
      <c r="A122" s="15"/>
      <c r="B122" s="15"/>
      <c r="C122" s="15"/>
    </row>
    <row r="123">
      <c r="A123" s="15"/>
      <c r="B123" s="15"/>
      <c r="C123" s="15"/>
    </row>
    <row r="124">
      <c r="A124" s="15"/>
      <c r="B124" s="15"/>
      <c r="C124" s="15"/>
    </row>
    <row r="125">
      <c r="A125" s="15"/>
      <c r="B125" s="15"/>
      <c r="C125" s="15"/>
    </row>
    <row r="126">
      <c r="A126" s="15"/>
      <c r="B126" s="15"/>
      <c r="C126" s="15"/>
    </row>
    <row r="127">
      <c r="A127" s="15"/>
      <c r="B127" s="15"/>
      <c r="C127" s="15"/>
    </row>
    <row r="128">
      <c r="A128" s="15"/>
      <c r="B128" s="15"/>
      <c r="C128" s="15"/>
    </row>
    <row r="129">
      <c r="A129" s="15"/>
      <c r="B129" s="15"/>
      <c r="C129" s="15"/>
    </row>
    <row r="130">
      <c r="A130" s="15"/>
      <c r="B130" s="15"/>
      <c r="C130" s="15"/>
    </row>
    <row r="131">
      <c r="A131" s="15"/>
      <c r="B131" s="15"/>
      <c r="C131" s="15"/>
    </row>
    <row r="132">
      <c r="A132" s="15"/>
      <c r="B132" s="15"/>
      <c r="C132" s="15"/>
    </row>
    <row r="133">
      <c r="A133" s="15"/>
      <c r="B133" s="15"/>
      <c r="C133" s="15"/>
    </row>
    <row r="134">
      <c r="A134" s="15"/>
      <c r="B134" s="15"/>
      <c r="C134" s="15"/>
    </row>
    <row r="135">
      <c r="A135" s="15"/>
      <c r="B135" s="15"/>
      <c r="C135" s="15"/>
    </row>
    <row r="136">
      <c r="A136" s="15"/>
      <c r="B136" s="15"/>
      <c r="C136" s="15"/>
    </row>
    <row r="137">
      <c r="A137" s="15"/>
      <c r="B137" s="15"/>
      <c r="C137" s="15"/>
    </row>
    <row r="138">
      <c r="A138" s="15"/>
      <c r="B138" s="15"/>
      <c r="C138" s="15"/>
    </row>
    <row r="139">
      <c r="A139" s="15"/>
      <c r="B139" s="15"/>
      <c r="C139" s="15"/>
    </row>
    <row r="140">
      <c r="A140" s="15"/>
      <c r="B140" s="15"/>
      <c r="C140" s="15"/>
    </row>
    <row r="141">
      <c r="A141" s="15"/>
      <c r="B141" s="15"/>
      <c r="C141" s="15"/>
    </row>
    <row r="142">
      <c r="A142" s="15"/>
      <c r="B142" s="15"/>
      <c r="C142" s="15"/>
    </row>
    <row r="143">
      <c r="A143" s="15"/>
      <c r="B143" s="15"/>
      <c r="C143" s="15"/>
    </row>
    <row r="144">
      <c r="A144" s="15"/>
      <c r="B144" s="15"/>
      <c r="C144" s="15"/>
    </row>
    <row r="145">
      <c r="A145" s="15"/>
      <c r="B145" s="15"/>
      <c r="C145" s="15"/>
    </row>
    <row r="146">
      <c r="A146" s="15"/>
      <c r="B146" s="15"/>
      <c r="C146" s="15"/>
    </row>
    <row r="147">
      <c r="A147" s="15"/>
      <c r="B147" s="15"/>
      <c r="C147" s="15"/>
    </row>
    <row r="148">
      <c r="A148" s="15"/>
      <c r="B148" s="15"/>
      <c r="C148" s="15"/>
    </row>
    <row r="149">
      <c r="A149" s="15"/>
      <c r="B149" s="15"/>
      <c r="C149" s="15"/>
    </row>
    <row r="150">
      <c r="A150" s="15"/>
      <c r="B150" s="15"/>
      <c r="C150" s="15"/>
    </row>
    <row r="151">
      <c r="A151" s="15"/>
      <c r="B151" s="15"/>
      <c r="C151" s="15"/>
    </row>
    <row r="152">
      <c r="A152" s="15"/>
      <c r="B152" s="15"/>
      <c r="C152" s="15"/>
    </row>
    <row r="153">
      <c r="A153" s="15"/>
      <c r="B153" s="15"/>
      <c r="C153" s="15"/>
    </row>
    <row r="154">
      <c r="A154" s="15"/>
      <c r="B154" s="15"/>
      <c r="C154" s="15"/>
    </row>
    <row r="155">
      <c r="A155" s="15"/>
      <c r="B155" s="15"/>
      <c r="C155" s="15"/>
    </row>
    <row r="156">
      <c r="A156" s="15"/>
      <c r="B156" s="15"/>
      <c r="C156" s="15"/>
    </row>
    <row r="157">
      <c r="A157" s="15"/>
      <c r="B157" s="15"/>
      <c r="C157" s="15"/>
    </row>
    <row r="158">
      <c r="A158" s="15"/>
      <c r="B158" s="15"/>
      <c r="C158" s="15"/>
    </row>
    <row r="159">
      <c r="A159" s="15"/>
      <c r="B159" s="15"/>
      <c r="C159" s="15"/>
    </row>
    <row r="160">
      <c r="A160" s="15"/>
      <c r="B160" s="15"/>
      <c r="C160" s="15"/>
    </row>
    <row r="161">
      <c r="A161" s="15"/>
      <c r="B161" s="15"/>
      <c r="C161" s="15"/>
    </row>
    <row r="162">
      <c r="A162" s="15"/>
      <c r="B162" s="15"/>
      <c r="C162" s="15"/>
    </row>
    <row r="163">
      <c r="A163" s="15"/>
      <c r="B163" s="15"/>
      <c r="C163" s="15"/>
    </row>
    <row r="164">
      <c r="A164" s="15"/>
      <c r="B164" s="15"/>
      <c r="C164" s="15"/>
    </row>
    <row r="165">
      <c r="A165" s="15"/>
      <c r="B165" s="15"/>
      <c r="C165" s="15"/>
    </row>
    <row r="166">
      <c r="A166" s="15"/>
      <c r="B166" s="15"/>
      <c r="C166" s="15"/>
    </row>
    <row r="167">
      <c r="A167" s="15"/>
      <c r="B167" s="15"/>
      <c r="C167" s="15"/>
    </row>
    <row r="168">
      <c r="A168" s="15"/>
      <c r="B168" s="15"/>
      <c r="C168" s="15"/>
    </row>
    <row r="169">
      <c r="A169" s="15"/>
      <c r="B169" s="15"/>
      <c r="C169" s="15"/>
    </row>
    <row r="170">
      <c r="A170" s="15"/>
      <c r="B170" s="15"/>
      <c r="C170" s="15"/>
    </row>
    <row r="171">
      <c r="A171" s="15"/>
      <c r="B171" s="15"/>
      <c r="C171" s="15"/>
    </row>
    <row r="172">
      <c r="A172" s="15"/>
      <c r="B172" s="15"/>
      <c r="C172" s="15"/>
    </row>
    <row r="173">
      <c r="A173" s="15"/>
      <c r="B173" s="15"/>
      <c r="C173" s="15"/>
    </row>
    <row r="174">
      <c r="A174" s="15"/>
      <c r="B174" s="15"/>
      <c r="C174" s="15"/>
    </row>
    <row r="175">
      <c r="A175" s="15"/>
      <c r="B175" s="15"/>
      <c r="C175" s="15"/>
    </row>
    <row r="176">
      <c r="A176" s="15"/>
      <c r="B176" s="15"/>
      <c r="C176" s="15"/>
    </row>
    <row r="177">
      <c r="A177" s="15"/>
      <c r="B177" s="15"/>
      <c r="C177" s="15"/>
    </row>
    <row r="178">
      <c r="A178" s="15"/>
      <c r="B178" s="15"/>
      <c r="C178" s="15"/>
    </row>
    <row r="179">
      <c r="A179" s="15"/>
      <c r="B179" s="15"/>
      <c r="C179" s="15"/>
    </row>
    <row r="180">
      <c r="A180" s="15"/>
      <c r="B180" s="15"/>
      <c r="C180" s="15"/>
    </row>
    <row r="181">
      <c r="A181" s="15"/>
      <c r="B181" s="15"/>
      <c r="C181" s="15"/>
    </row>
    <row r="182">
      <c r="A182" s="15"/>
      <c r="B182" s="15"/>
      <c r="C182" s="15"/>
    </row>
    <row r="183">
      <c r="A183" s="15"/>
      <c r="B183" s="15"/>
      <c r="C183" s="15"/>
    </row>
    <row r="184">
      <c r="A184" s="15"/>
      <c r="B184" s="15"/>
      <c r="C184" s="15"/>
    </row>
    <row r="185">
      <c r="A185" s="15"/>
      <c r="B185" s="15"/>
      <c r="C185" s="15"/>
    </row>
    <row r="186">
      <c r="A186" s="15"/>
      <c r="B186" s="15"/>
      <c r="C186" s="15"/>
    </row>
    <row r="187">
      <c r="A187" s="15"/>
      <c r="B187" s="15"/>
      <c r="C187" s="15"/>
    </row>
    <row r="188">
      <c r="A188" s="15"/>
      <c r="B188" s="15"/>
      <c r="C188" s="15"/>
    </row>
    <row r="189">
      <c r="A189" s="15"/>
      <c r="B189" s="15"/>
      <c r="C189" s="15"/>
    </row>
    <row r="190">
      <c r="A190" s="15"/>
      <c r="B190" s="15"/>
      <c r="C190" s="15"/>
    </row>
    <row r="191">
      <c r="A191" s="15"/>
      <c r="B191" s="15"/>
      <c r="C191" s="15"/>
    </row>
    <row r="192">
      <c r="A192" s="15"/>
      <c r="B192" s="15"/>
      <c r="C192" s="15"/>
    </row>
    <row r="193">
      <c r="A193" s="15"/>
      <c r="B193" s="15"/>
      <c r="C193" s="15"/>
    </row>
    <row r="194">
      <c r="A194" s="15"/>
      <c r="B194" s="15"/>
      <c r="C194" s="15"/>
    </row>
    <row r="195">
      <c r="A195" s="15"/>
      <c r="B195" s="15"/>
      <c r="C195" s="15"/>
    </row>
    <row r="196">
      <c r="A196" s="15"/>
      <c r="B196" s="15"/>
      <c r="C196" s="15"/>
    </row>
    <row r="197">
      <c r="A197" s="15"/>
      <c r="B197" s="15"/>
      <c r="C197" s="15"/>
    </row>
    <row r="198">
      <c r="A198" s="15"/>
      <c r="B198" s="15"/>
      <c r="C198" s="15"/>
    </row>
    <row r="199">
      <c r="A199" s="15"/>
      <c r="B199" s="15"/>
      <c r="C199" s="15"/>
    </row>
    <row r="200">
      <c r="A200" s="15"/>
      <c r="B200" s="15"/>
      <c r="C200" s="15"/>
    </row>
    <row r="201">
      <c r="A201" s="15"/>
      <c r="B201" s="15"/>
      <c r="C201" s="15"/>
    </row>
    <row r="202">
      <c r="A202" s="15"/>
      <c r="B202" s="15"/>
      <c r="C202" s="15"/>
    </row>
    <row r="203">
      <c r="A203" s="15"/>
      <c r="B203" s="15"/>
      <c r="C203" s="15"/>
    </row>
    <row r="204">
      <c r="A204" s="15"/>
      <c r="B204" s="15"/>
      <c r="C204" s="15"/>
    </row>
    <row r="205">
      <c r="A205" s="15"/>
      <c r="B205" s="15"/>
      <c r="C205" s="15"/>
    </row>
    <row r="206">
      <c r="A206" s="15"/>
      <c r="B206" s="15"/>
      <c r="C206" s="15"/>
    </row>
    <row r="207">
      <c r="A207" s="15"/>
      <c r="B207" s="15"/>
      <c r="C207" s="15"/>
    </row>
    <row r="208">
      <c r="A208" s="15"/>
      <c r="B208" s="15"/>
      <c r="C208" s="15"/>
    </row>
    <row r="209">
      <c r="A209" s="15"/>
      <c r="B209" s="15"/>
      <c r="C209" s="15"/>
    </row>
    <row r="210">
      <c r="A210" s="15"/>
      <c r="B210" s="15"/>
      <c r="C210" s="15"/>
    </row>
    <row r="211">
      <c r="A211" s="15"/>
      <c r="B211" s="15"/>
      <c r="C211" s="15"/>
    </row>
    <row r="212">
      <c r="A212" s="15"/>
      <c r="B212" s="15"/>
      <c r="C212" s="15"/>
    </row>
    <row r="213">
      <c r="A213" s="15"/>
      <c r="B213" s="15"/>
      <c r="C213" s="15"/>
    </row>
    <row r="214">
      <c r="A214" s="15"/>
      <c r="B214" s="15"/>
      <c r="C214" s="15"/>
    </row>
    <row r="215">
      <c r="A215" s="15"/>
      <c r="B215" s="15"/>
      <c r="C215" s="15"/>
    </row>
    <row r="216">
      <c r="A216" s="15"/>
      <c r="B216" s="15"/>
      <c r="C216" s="15"/>
    </row>
    <row r="217">
      <c r="A217" s="15"/>
      <c r="B217" s="15"/>
      <c r="C217" s="15"/>
    </row>
    <row r="218">
      <c r="A218" s="15"/>
      <c r="B218" s="15"/>
      <c r="C218" s="15"/>
    </row>
    <row r="219">
      <c r="A219" s="15"/>
      <c r="B219" s="15"/>
      <c r="C219" s="15"/>
    </row>
    <row r="220">
      <c r="A220" s="15"/>
      <c r="B220" s="15"/>
      <c r="C220" s="15"/>
    </row>
    <row r="221">
      <c r="A221" s="15"/>
      <c r="B221" s="15"/>
      <c r="C221" s="15"/>
    </row>
    <row r="222">
      <c r="A222" s="15"/>
      <c r="B222" s="15"/>
      <c r="C222" s="15"/>
    </row>
    <row r="223">
      <c r="A223" s="15"/>
      <c r="B223" s="15"/>
      <c r="C223" s="15"/>
    </row>
    <row r="224">
      <c r="A224" s="15"/>
      <c r="B224" s="15"/>
      <c r="C224" s="15"/>
    </row>
    <row r="225">
      <c r="A225" s="15"/>
      <c r="B225" s="15"/>
      <c r="C225" s="15"/>
    </row>
    <row r="226">
      <c r="A226" s="15"/>
      <c r="B226" s="15"/>
      <c r="C226" s="15"/>
    </row>
    <row r="227">
      <c r="A227" s="15"/>
      <c r="B227" s="15"/>
      <c r="C227" s="15"/>
    </row>
    <row r="228">
      <c r="A228" s="15"/>
      <c r="B228" s="15"/>
      <c r="C228" s="15"/>
    </row>
    <row r="229">
      <c r="A229" s="15"/>
      <c r="B229" s="15"/>
      <c r="C229" s="15"/>
    </row>
    <row r="230">
      <c r="A230" s="15"/>
      <c r="B230" s="15"/>
      <c r="C230" s="15"/>
    </row>
    <row r="231">
      <c r="A231" s="15"/>
      <c r="B231" s="15"/>
      <c r="C231" s="15"/>
    </row>
    <row r="232">
      <c r="A232" s="15"/>
      <c r="B232" s="15"/>
      <c r="C232" s="15"/>
    </row>
    <row r="233">
      <c r="A233" s="15"/>
      <c r="B233" s="15"/>
      <c r="C233" s="15"/>
    </row>
    <row r="234">
      <c r="A234" s="15"/>
      <c r="B234" s="15"/>
      <c r="C234" s="15"/>
    </row>
    <row r="235">
      <c r="A235" s="15"/>
      <c r="B235" s="15"/>
      <c r="C235" s="15"/>
    </row>
    <row r="236">
      <c r="A236" s="15"/>
      <c r="B236" s="15"/>
      <c r="C236" s="15"/>
    </row>
    <row r="237">
      <c r="A237" s="15"/>
      <c r="B237" s="15"/>
      <c r="C237" s="15"/>
    </row>
    <row r="238">
      <c r="A238" s="15"/>
      <c r="B238" s="15"/>
      <c r="C238" s="15"/>
    </row>
    <row r="239">
      <c r="A239" s="15"/>
      <c r="B239" s="15"/>
      <c r="C239" s="15"/>
    </row>
    <row r="240">
      <c r="A240" s="15"/>
      <c r="B240" s="15"/>
      <c r="C240" s="15"/>
    </row>
    <row r="241">
      <c r="A241" s="15"/>
      <c r="B241" s="15"/>
      <c r="C241" s="15"/>
    </row>
    <row r="242">
      <c r="A242" s="15"/>
      <c r="B242" s="15"/>
      <c r="C242" s="15"/>
    </row>
    <row r="243">
      <c r="A243" s="15"/>
      <c r="B243" s="15"/>
      <c r="C243" s="15"/>
    </row>
    <row r="244">
      <c r="A244" s="15"/>
      <c r="B244" s="15"/>
      <c r="C244" s="15"/>
    </row>
    <row r="245">
      <c r="A245" s="15"/>
      <c r="B245" s="15"/>
      <c r="C245" s="15"/>
    </row>
    <row r="246">
      <c r="A246" s="15"/>
      <c r="B246" s="15"/>
      <c r="C246" s="15"/>
    </row>
    <row r="247">
      <c r="A247" s="15"/>
      <c r="B247" s="15"/>
      <c r="C247" s="15"/>
    </row>
    <row r="248">
      <c r="A248" s="15"/>
      <c r="B248" s="15"/>
      <c r="C248" s="15"/>
    </row>
    <row r="249">
      <c r="A249" s="15"/>
      <c r="B249" s="15"/>
      <c r="C249" s="15"/>
    </row>
    <row r="250">
      <c r="A250" s="15"/>
      <c r="B250" s="15"/>
      <c r="C250" s="15"/>
    </row>
    <row r="251">
      <c r="A251" s="15"/>
      <c r="B251" s="15"/>
      <c r="C251" s="15"/>
    </row>
    <row r="252">
      <c r="A252" s="15"/>
      <c r="B252" s="15"/>
      <c r="C252" s="15"/>
    </row>
    <row r="253">
      <c r="A253" s="15"/>
      <c r="B253" s="15"/>
      <c r="C253" s="15"/>
    </row>
    <row r="254">
      <c r="A254" s="15"/>
      <c r="B254" s="15"/>
      <c r="C254" s="15"/>
    </row>
    <row r="255">
      <c r="A255" s="15"/>
      <c r="B255" s="15"/>
      <c r="C255" s="15"/>
    </row>
    <row r="256">
      <c r="A256" s="15"/>
      <c r="B256" s="15"/>
      <c r="C256" s="15"/>
    </row>
    <row r="257">
      <c r="A257" s="15"/>
      <c r="B257" s="15"/>
      <c r="C257" s="15"/>
    </row>
    <row r="258">
      <c r="A258" s="15"/>
      <c r="B258" s="15"/>
      <c r="C258" s="15"/>
    </row>
    <row r="259">
      <c r="A259" s="15"/>
      <c r="B259" s="15"/>
      <c r="C259" s="15"/>
    </row>
    <row r="260">
      <c r="A260" s="15"/>
      <c r="B260" s="15"/>
      <c r="C260" s="15"/>
    </row>
    <row r="261">
      <c r="A261" s="15"/>
      <c r="B261" s="15"/>
      <c r="C261" s="15"/>
    </row>
    <row r="262">
      <c r="A262" s="15"/>
      <c r="B262" s="15"/>
      <c r="C262" s="15"/>
    </row>
    <row r="263">
      <c r="A263" s="15"/>
      <c r="B263" s="15"/>
      <c r="C263" s="15"/>
    </row>
    <row r="264">
      <c r="A264" s="15"/>
      <c r="B264" s="15"/>
      <c r="C264" s="15"/>
    </row>
    <row r="265">
      <c r="A265" s="15"/>
      <c r="B265" s="15"/>
      <c r="C265" s="15"/>
    </row>
    <row r="266">
      <c r="A266" s="15"/>
      <c r="B266" s="15"/>
      <c r="C266" s="15"/>
    </row>
    <row r="267">
      <c r="A267" s="15"/>
      <c r="B267" s="15"/>
      <c r="C267" s="15"/>
    </row>
    <row r="268">
      <c r="A268" s="15"/>
      <c r="B268" s="15"/>
      <c r="C268" s="15"/>
    </row>
    <row r="269">
      <c r="A269" s="15"/>
      <c r="B269" s="15"/>
      <c r="C269" s="15"/>
    </row>
    <row r="270">
      <c r="A270" s="15"/>
      <c r="B270" s="15"/>
      <c r="C270" s="15"/>
    </row>
    <row r="271">
      <c r="A271" s="15"/>
      <c r="B271" s="15"/>
      <c r="C271" s="15"/>
    </row>
    <row r="272">
      <c r="A272" s="15"/>
      <c r="B272" s="15"/>
      <c r="C272" s="15"/>
    </row>
    <row r="273">
      <c r="A273" s="15"/>
      <c r="B273" s="15"/>
      <c r="C273" s="15"/>
    </row>
    <row r="274">
      <c r="A274" s="15"/>
      <c r="B274" s="15"/>
      <c r="C274" s="15"/>
    </row>
    <row r="275">
      <c r="A275" s="15"/>
      <c r="B275" s="15"/>
      <c r="C275" s="15"/>
    </row>
    <row r="276">
      <c r="A276" s="15"/>
      <c r="B276" s="15"/>
      <c r="C276" s="15"/>
    </row>
    <row r="277">
      <c r="A277" s="15"/>
      <c r="B277" s="15"/>
      <c r="C277" s="15"/>
    </row>
    <row r="278">
      <c r="A278" s="15"/>
      <c r="B278" s="15"/>
      <c r="C278" s="15"/>
    </row>
    <row r="279">
      <c r="A279" s="15"/>
      <c r="B279" s="15"/>
      <c r="C279" s="15"/>
    </row>
    <row r="280">
      <c r="A280" s="15"/>
      <c r="B280" s="15"/>
      <c r="C280" s="15"/>
    </row>
    <row r="281">
      <c r="A281" s="15"/>
      <c r="B281" s="15"/>
      <c r="C281" s="15"/>
    </row>
    <row r="282">
      <c r="A282" s="15"/>
      <c r="B282" s="15"/>
      <c r="C282" s="15"/>
    </row>
    <row r="283">
      <c r="A283" s="15"/>
      <c r="B283" s="15"/>
      <c r="C283" s="15"/>
    </row>
    <row r="284">
      <c r="A284" s="15"/>
      <c r="B284" s="15"/>
      <c r="C284" s="15"/>
    </row>
    <row r="285">
      <c r="A285" s="15"/>
      <c r="B285" s="15"/>
      <c r="C285" s="15"/>
    </row>
    <row r="286">
      <c r="A286" s="15"/>
      <c r="B286" s="15"/>
      <c r="C286" s="15"/>
    </row>
    <row r="287">
      <c r="A287" s="15"/>
      <c r="B287" s="15"/>
      <c r="C287" s="15"/>
    </row>
    <row r="288">
      <c r="A288" s="15"/>
      <c r="B288" s="15"/>
      <c r="C288" s="15"/>
    </row>
    <row r="289">
      <c r="A289" s="15"/>
      <c r="B289" s="15"/>
      <c r="C289" s="15"/>
    </row>
    <row r="290">
      <c r="A290" s="15"/>
      <c r="B290" s="15"/>
      <c r="C290" s="15"/>
    </row>
    <row r="291">
      <c r="A291" s="15"/>
      <c r="B291" s="15"/>
      <c r="C291" s="15"/>
    </row>
    <row r="292">
      <c r="A292" s="15"/>
      <c r="B292" s="15"/>
      <c r="C292" s="15"/>
    </row>
    <row r="293">
      <c r="A293" s="15"/>
      <c r="B293" s="15"/>
      <c r="C293" s="15"/>
    </row>
    <row r="294">
      <c r="A294" s="15"/>
      <c r="B294" s="15"/>
      <c r="C294" s="15"/>
    </row>
    <row r="295">
      <c r="A295" s="15"/>
      <c r="B295" s="15"/>
      <c r="C295" s="15"/>
    </row>
    <row r="296">
      <c r="A296" s="15"/>
      <c r="B296" s="15"/>
      <c r="C296" s="15"/>
    </row>
    <row r="297">
      <c r="A297" s="15"/>
      <c r="B297" s="15"/>
      <c r="C297" s="15"/>
    </row>
    <row r="298">
      <c r="A298" s="15"/>
      <c r="B298" s="15"/>
      <c r="C298" s="15"/>
    </row>
    <row r="299">
      <c r="A299" s="15"/>
      <c r="B299" s="15"/>
      <c r="C299" s="15"/>
    </row>
    <row r="300">
      <c r="A300" s="15"/>
      <c r="B300" s="15"/>
      <c r="C300" s="15"/>
    </row>
    <row r="301">
      <c r="A301" s="15"/>
      <c r="B301" s="15"/>
      <c r="C301" s="15"/>
    </row>
    <row r="302">
      <c r="A302" s="15"/>
      <c r="B302" s="15"/>
      <c r="C302" s="15"/>
    </row>
    <row r="303">
      <c r="A303" s="15"/>
      <c r="B303" s="15"/>
      <c r="C303" s="15"/>
    </row>
    <row r="304">
      <c r="A304" s="15"/>
      <c r="B304" s="15"/>
      <c r="C304" s="15"/>
    </row>
    <row r="305">
      <c r="A305" s="15"/>
      <c r="B305" s="15"/>
      <c r="C305" s="15"/>
    </row>
    <row r="306">
      <c r="A306" s="15"/>
      <c r="B306" s="15"/>
      <c r="C306" s="15"/>
    </row>
    <row r="307">
      <c r="A307" s="15"/>
      <c r="B307" s="15"/>
      <c r="C307" s="15"/>
    </row>
    <row r="308">
      <c r="A308" s="15"/>
      <c r="B308" s="15"/>
      <c r="C308" s="15"/>
    </row>
    <row r="309">
      <c r="A309" s="15"/>
      <c r="B309" s="15"/>
      <c r="C309" s="15"/>
    </row>
    <row r="310">
      <c r="A310" s="15"/>
      <c r="B310" s="15"/>
      <c r="C310" s="15"/>
    </row>
    <row r="311">
      <c r="A311" s="15"/>
      <c r="B311" s="15"/>
      <c r="C311" s="15"/>
    </row>
    <row r="312">
      <c r="A312" s="15"/>
      <c r="B312" s="15"/>
      <c r="C312" s="15"/>
    </row>
    <row r="313">
      <c r="A313" s="15"/>
      <c r="B313" s="15"/>
      <c r="C313" s="15"/>
    </row>
    <row r="314">
      <c r="A314" s="15"/>
      <c r="B314" s="15"/>
      <c r="C314" s="15"/>
    </row>
    <row r="315">
      <c r="A315" s="15"/>
      <c r="B315" s="15"/>
      <c r="C315" s="15"/>
    </row>
    <row r="316">
      <c r="A316" s="15"/>
      <c r="B316" s="15"/>
      <c r="C316" s="15"/>
    </row>
    <row r="317">
      <c r="A317" s="15"/>
      <c r="B317" s="15"/>
      <c r="C317" s="15"/>
    </row>
    <row r="318">
      <c r="A318" s="15"/>
      <c r="B318" s="15"/>
      <c r="C318" s="15"/>
    </row>
    <row r="319">
      <c r="A319" s="15"/>
      <c r="B319" s="15"/>
      <c r="C319" s="15"/>
    </row>
    <row r="320">
      <c r="A320" s="15"/>
      <c r="B320" s="15"/>
      <c r="C320" s="15"/>
    </row>
    <row r="321">
      <c r="A321" s="15"/>
      <c r="B321" s="15"/>
      <c r="C321" s="15"/>
    </row>
    <row r="322">
      <c r="A322" s="15"/>
      <c r="B322" s="15"/>
      <c r="C322" s="15"/>
    </row>
    <row r="323">
      <c r="A323" s="15"/>
      <c r="B323" s="15"/>
      <c r="C323" s="15"/>
    </row>
    <row r="324">
      <c r="A324" s="15"/>
      <c r="B324" s="15"/>
      <c r="C324" s="15"/>
    </row>
    <row r="325">
      <c r="A325" s="15"/>
      <c r="B325" s="15"/>
      <c r="C325" s="15"/>
    </row>
    <row r="326">
      <c r="A326" s="15"/>
      <c r="B326" s="15"/>
      <c r="C326" s="15"/>
    </row>
    <row r="327">
      <c r="A327" s="15"/>
      <c r="B327" s="15"/>
      <c r="C327" s="15"/>
    </row>
    <row r="328">
      <c r="A328" s="15"/>
      <c r="B328" s="15"/>
      <c r="C328" s="15"/>
    </row>
    <row r="329">
      <c r="A329" s="15"/>
      <c r="B329" s="15"/>
      <c r="C329" s="15"/>
    </row>
    <row r="330">
      <c r="A330" s="15"/>
      <c r="B330" s="15"/>
      <c r="C330" s="15"/>
    </row>
    <row r="331">
      <c r="A331" s="15"/>
      <c r="B331" s="15"/>
      <c r="C331" s="15"/>
    </row>
    <row r="332">
      <c r="A332" s="15"/>
      <c r="B332" s="15"/>
      <c r="C332" s="15"/>
    </row>
    <row r="333">
      <c r="A333" s="15"/>
      <c r="B333" s="15"/>
      <c r="C333" s="15"/>
    </row>
    <row r="334">
      <c r="A334" s="15"/>
      <c r="B334" s="15"/>
      <c r="C334" s="15"/>
    </row>
    <row r="335">
      <c r="A335" s="15"/>
      <c r="B335" s="15"/>
      <c r="C335" s="15"/>
    </row>
    <row r="336">
      <c r="A336" s="15"/>
      <c r="B336" s="15"/>
      <c r="C336" s="15"/>
    </row>
    <row r="337">
      <c r="A337" s="15"/>
      <c r="B337" s="15"/>
      <c r="C337" s="15"/>
    </row>
    <row r="338">
      <c r="A338" s="15"/>
      <c r="B338" s="15"/>
      <c r="C338" s="15"/>
    </row>
    <row r="339">
      <c r="A339" s="15"/>
      <c r="B339" s="15"/>
      <c r="C339" s="15"/>
    </row>
    <row r="340">
      <c r="A340" s="15"/>
      <c r="B340" s="15"/>
      <c r="C340" s="15"/>
    </row>
    <row r="341">
      <c r="A341" s="15"/>
      <c r="B341" s="15"/>
      <c r="C341" s="15"/>
    </row>
    <row r="342">
      <c r="A342" s="15"/>
      <c r="B342" s="15"/>
      <c r="C342" s="15"/>
    </row>
    <row r="343">
      <c r="A343" s="15"/>
      <c r="B343" s="15"/>
      <c r="C343" s="15"/>
    </row>
    <row r="344">
      <c r="A344" s="15"/>
      <c r="B344" s="15"/>
      <c r="C344" s="15"/>
    </row>
    <row r="345">
      <c r="A345" s="15"/>
      <c r="B345" s="15"/>
      <c r="C345" s="15"/>
    </row>
    <row r="346">
      <c r="A346" s="15"/>
      <c r="B346" s="15"/>
      <c r="C346" s="15"/>
    </row>
    <row r="347">
      <c r="A347" s="15"/>
      <c r="B347" s="15"/>
      <c r="C347" s="15"/>
    </row>
    <row r="348">
      <c r="A348" s="15"/>
      <c r="B348" s="15"/>
      <c r="C348" s="15"/>
    </row>
    <row r="349">
      <c r="A349" s="15"/>
      <c r="B349" s="15"/>
      <c r="C349" s="15"/>
    </row>
    <row r="350">
      <c r="A350" s="15"/>
      <c r="B350" s="15"/>
      <c r="C350" s="15"/>
    </row>
    <row r="351">
      <c r="A351" s="15"/>
      <c r="B351" s="15"/>
      <c r="C351" s="15"/>
    </row>
    <row r="352">
      <c r="A352" s="15"/>
      <c r="B352" s="15"/>
      <c r="C352" s="15"/>
    </row>
    <row r="353">
      <c r="A353" s="15"/>
      <c r="B353" s="15"/>
      <c r="C353" s="15"/>
    </row>
    <row r="354">
      <c r="A354" s="15"/>
      <c r="B354" s="15"/>
      <c r="C354" s="15"/>
    </row>
    <row r="355">
      <c r="A355" s="15"/>
      <c r="B355" s="15"/>
      <c r="C355" s="15"/>
    </row>
    <row r="356">
      <c r="A356" s="15"/>
      <c r="B356" s="15"/>
      <c r="C356" s="15"/>
    </row>
    <row r="357">
      <c r="A357" s="15"/>
      <c r="B357" s="15"/>
      <c r="C357" s="15"/>
    </row>
    <row r="358">
      <c r="A358" s="15"/>
      <c r="B358" s="15"/>
      <c r="C358" s="15"/>
    </row>
    <row r="359">
      <c r="A359" s="15"/>
      <c r="B359" s="15"/>
      <c r="C359" s="15"/>
    </row>
    <row r="360">
      <c r="A360" s="15"/>
      <c r="B360" s="15"/>
      <c r="C360" s="15"/>
    </row>
    <row r="361">
      <c r="A361" s="15"/>
      <c r="B361" s="15"/>
      <c r="C361" s="15"/>
    </row>
    <row r="362">
      <c r="A362" s="15"/>
      <c r="B362" s="15"/>
      <c r="C362" s="15"/>
    </row>
    <row r="363">
      <c r="A363" s="15"/>
      <c r="B363" s="15"/>
      <c r="C363" s="15"/>
    </row>
    <row r="364">
      <c r="A364" s="15"/>
      <c r="B364" s="15"/>
      <c r="C364" s="15"/>
    </row>
    <row r="365">
      <c r="A365" s="15"/>
      <c r="B365" s="15"/>
      <c r="C365" s="15"/>
    </row>
    <row r="366">
      <c r="A366" s="15"/>
      <c r="B366" s="15"/>
      <c r="C366" s="15"/>
    </row>
    <row r="367">
      <c r="A367" s="15"/>
      <c r="B367" s="15"/>
      <c r="C367" s="15"/>
    </row>
    <row r="368">
      <c r="A368" s="15"/>
      <c r="B368" s="15"/>
      <c r="C368" s="15"/>
    </row>
    <row r="369">
      <c r="A369" s="15"/>
      <c r="B369" s="15"/>
      <c r="C369" s="15"/>
    </row>
    <row r="370">
      <c r="A370" s="15"/>
      <c r="B370" s="15"/>
      <c r="C370" s="15"/>
    </row>
    <row r="371">
      <c r="A371" s="15"/>
      <c r="B371" s="15"/>
      <c r="C371" s="15"/>
    </row>
    <row r="372">
      <c r="A372" s="15"/>
      <c r="B372" s="15"/>
      <c r="C372" s="15"/>
    </row>
    <row r="373">
      <c r="A373" s="15"/>
      <c r="B373" s="15"/>
      <c r="C373" s="15"/>
    </row>
    <row r="374">
      <c r="A374" s="15"/>
      <c r="B374" s="15"/>
      <c r="C374" s="15"/>
    </row>
    <row r="375">
      <c r="A375" s="15"/>
      <c r="B375" s="15"/>
      <c r="C375" s="15"/>
    </row>
    <row r="376">
      <c r="A376" s="15"/>
      <c r="B376" s="15"/>
      <c r="C376" s="15"/>
    </row>
    <row r="377">
      <c r="A377" s="15"/>
      <c r="B377" s="15"/>
      <c r="C377" s="15"/>
    </row>
    <row r="378">
      <c r="A378" s="15"/>
      <c r="B378" s="15"/>
      <c r="C378" s="15"/>
    </row>
    <row r="379">
      <c r="A379" s="15"/>
      <c r="B379" s="15"/>
      <c r="C379" s="15"/>
    </row>
    <row r="380">
      <c r="A380" s="15"/>
      <c r="B380" s="15"/>
      <c r="C380" s="15"/>
    </row>
    <row r="381">
      <c r="A381" s="15"/>
      <c r="B381" s="15"/>
      <c r="C381" s="15"/>
    </row>
    <row r="382">
      <c r="A382" s="15"/>
      <c r="B382" s="15"/>
      <c r="C382" s="15"/>
    </row>
    <row r="383">
      <c r="A383" s="15"/>
      <c r="B383" s="15"/>
      <c r="C383" s="15"/>
    </row>
    <row r="384">
      <c r="A384" s="15"/>
      <c r="B384" s="15"/>
      <c r="C384" s="15"/>
    </row>
    <row r="385">
      <c r="A385" s="15"/>
      <c r="B385" s="15"/>
      <c r="C385" s="15"/>
    </row>
    <row r="386">
      <c r="A386" s="15"/>
      <c r="B386" s="15"/>
      <c r="C386" s="15"/>
    </row>
    <row r="387">
      <c r="A387" s="15"/>
      <c r="B387" s="15"/>
      <c r="C387" s="15"/>
    </row>
    <row r="388">
      <c r="A388" s="15"/>
      <c r="B388" s="15"/>
      <c r="C388" s="15"/>
    </row>
    <row r="389">
      <c r="A389" s="15"/>
      <c r="B389" s="15"/>
      <c r="C389" s="15"/>
    </row>
    <row r="390">
      <c r="A390" s="15"/>
      <c r="B390" s="15"/>
      <c r="C390" s="15"/>
    </row>
    <row r="391">
      <c r="A391" s="15"/>
      <c r="B391" s="15"/>
      <c r="C391" s="15"/>
    </row>
    <row r="392">
      <c r="A392" s="15"/>
      <c r="B392" s="15"/>
      <c r="C392" s="15"/>
    </row>
    <row r="393">
      <c r="A393" s="15"/>
      <c r="B393" s="15"/>
      <c r="C393" s="15"/>
    </row>
    <row r="394">
      <c r="A394" s="15"/>
      <c r="B394" s="15"/>
      <c r="C394" s="15"/>
    </row>
    <row r="395">
      <c r="A395" s="15"/>
      <c r="B395" s="15"/>
      <c r="C395" s="15"/>
    </row>
    <row r="396">
      <c r="A396" s="15"/>
      <c r="B396" s="15"/>
      <c r="C396" s="15"/>
    </row>
    <row r="397">
      <c r="A397" s="15"/>
      <c r="B397" s="15"/>
      <c r="C397" s="15"/>
    </row>
    <row r="398">
      <c r="A398" s="15"/>
      <c r="B398" s="15"/>
      <c r="C398" s="15"/>
    </row>
    <row r="399">
      <c r="A399" s="15"/>
      <c r="B399" s="15"/>
      <c r="C399" s="15"/>
    </row>
    <row r="400">
      <c r="A400" s="15"/>
      <c r="B400" s="15"/>
      <c r="C400" s="15"/>
    </row>
    <row r="401">
      <c r="A401" s="15"/>
      <c r="B401" s="15"/>
      <c r="C401" s="15"/>
    </row>
    <row r="402">
      <c r="A402" s="15"/>
      <c r="B402" s="15"/>
      <c r="C402" s="15"/>
    </row>
    <row r="403">
      <c r="A403" s="15"/>
      <c r="B403" s="15"/>
      <c r="C403" s="15"/>
    </row>
    <row r="404">
      <c r="A404" s="15"/>
      <c r="B404" s="15"/>
      <c r="C404" s="15"/>
    </row>
    <row r="405">
      <c r="A405" s="15"/>
      <c r="B405" s="15"/>
      <c r="C405" s="15"/>
    </row>
    <row r="406">
      <c r="A406" s="15"/>
      <c r="B406" s="15"/>
      <c r="C406" s="15"/>
    </row>
    <row r="407">
      <c r="A407" s="15"/>
      <c r="B407" s="15"/>
      <c r="C407" s="15"/>
    </row>
    <row r="408">
      <c r="A408" s="15"/>
      <c r="B408" s="15"/>
      <c r="C408" s="15"/>
    </row>
    <row r="409">
      <c r="A409" s="15"/>
      <c r="B409" s="15"/>
      <c r="C409" s="15"/>
    </row>
    <row r="410">
      <c r="A410" s="15"/>
      <c r="B410" s="15"/>
      <c r="C410" s="15"/>
    </row>
    <row r="411">
      <c r="A411" s="15"/>
      <c r="B411" s="15"/>
      <c r="C411" s="15"/>
    </row>
    <row r="412">
      <c r="A412" s="15"/>
      <c r="B412" s="15"/>
      <c r="C412" s="15"/>
    </row>
    <row r="413">
      <c r="A413" s="15"/>
      <c r="B413" s="15"/>
      <c r="C413" s="15"/>
    </row>
    <row r="414">
      <c r="A414" s="15"/>
      <c r="B414" s="15"/>
      <c r="C414" s="15"/>
    </row>
    <row r="415">
      <c r="A415" s="15"/>
      <c r="B415" s="15"/>
      <c r="C415" s="15"/>
    </row>
    <row r="416">
      <c r="A416" s="15"/>
      <c r="B416" s="15"/>
      <c r="C416" s="15"/>
    </row>
    <row r="417">
      <c r="A417" s="15"/>
      <c r="B417" s="15"/>
      <c r="C417" s="15"/>
    </row>
    <row r="418">
      <c r="A418" s="15"/>
      <c r="B418" s="15"/>
      <c r="C418" s="15"/>
    </row>
    <row r="419">
      <c r="A419" s="15"/>
      <c r="B419" s="15"/>
      <c r="C419" s="15"/>
    </row>
    <row r="420">
      <c r="A420" s="15"/>
      <c r="B420" s="15"/>
      <c r="C420" s="15"/>
    </row>
    <row r="421">
      <c r="A421" s="15"/>
      <c r="B421" s="15"/>
      <c r="C421" s="15"/>
    </row>
    <row r="422">
      <c r="A422" s="15"/>
      <c r="B422" s="15"/>
      <c r="C422" s="15"/>
    </row>
    <row r="423">
      <c r="A423" s="15"/>
      <c r="B423" s="15"/>
      <c r="C423" s="15"/>
    </row>
    <row r="424">
      <c r="A424" s="15"/>
      <c r="B424" s="15"/>
      <c r="C424" s="15"/>
    </row>
    <row r="425">
      <c r="A425" s="15"/>
      <c r="B425" s="15"/>
      <c r="C425" s="15"/>
    </row>
    <row r="426">
      <c r="A426" s="15"/>
      <c r="B426" s="15"/>
      <c r="C426" s="15"/>
    </row>
    <row r="427">
      <c r="A427" s="15"/>
      <c r="B427" s="15"/>
      <c r="C427" s="15"/>
    </row>
    <row r="428">
      <c r="A428" s="15"/>
      <c r="B428" s="15"/>
      <c r="C428" s="15"/>
    </row>
    <row r="429">
      <c r="A429" s="15"/>
      <c r="B429" s="15"/>
      <c r="C429" s="15"/>
    </row>
    <row r="430">
      <c r="A430" s="15"/>
      <c r="B430" s="15"/>
      <c r="C430" s="15"/>
    </row>
    <row r="431">
      <c r="A431" s="15"/>
      <c r="B431" s="15"/>
      <c r="C431" s="15"/>
    </row>
    <row r="432">
      <c r="A432" s="15"/>
      <c r="B432" s="15"/>
      <c r="C432" s="15"/>
    </row>
    <row r="433">
      <c r="A433" s="15"/>
      <c r="B433" s="15"/>
      <c r="C433" s="15"/>
    </row>
    <row r="434">
      <c r="A434" s="15"/>
      <c r="B434" s="15"/>
      <c r="C434" s="15"/>
    </row>
    <row r="435">
      <c r="A435" s="15"/>
      <c r="B435" s="15"/>
      <c r="C435" s="15"/>
    </row>
    <row r="436">
      <c r="A436" s="15"/>
      <c r="B436" s="15"/>
      <c r="C436" s="15"/>
    </row>
    <row r="437">
      <c r="A437" s="15"/>
      <c r="B437" s="15"/>
      <c r="C437" s="15"/>
    </row>
    <row r="438">
      <c r="A438" s="15"/>
      <c r="B438" s="15"/>
      <c r="C438" s="15"/>
    </row>
    <row r="439">
      <c r="A439" s="15"/>
      <c r="B439" s="15"/>
      <c r="C439" s="15"/>
    </row>
    <row r="440">
      <c r="A440" s="15"/>
      <c r="B440" s="15"/>
      <c r="C440" s="15"/>
    </row>
    <row r="441">
      <c r="A441" s="15"/>
      <c r="B441" s="15"/>
      <c r="C441" s="15"/>
    </row>
    <row r="442">
      <c r="A442" s="15"/>
      <c r="B442" s="15"/>
      <c r="C442" s="15"/>
    </row>
    <row r="443">
      <c r="A443" s="15"/>
      <c r="B443" s="15"/>
      <c r="C443" s="15"/>
    </row>
    <row r="444">
      <c r="A444" s="15"/>
      <c r="B444" s="15"/>
      <c r="C444" s="15"/>
    </row>
    <row r="445">
      <c r="A445" s="15"/>
      <c r="B445" s="15"/>
      <c r="C445" s="15"/>
    </row>
    <row r="446">
      <c r="A446" s="15"/>
      <c r="B446" s="15"/>
      <c r="C446" s="15"/>
    </row>
    <row r="447">
      <c r="A447" s="15"/>
      <c r="B447" s="15"/>
      <c r="C447" s="15"/>
    </row>
    <row r="448">
      <c r="A448" s="15"/>
      <c r="B448" s="15"/>
      <c r="C448" s="15"/>
    </row>
    <row r="449">
      <c r="A449" s="15"/>
      <c r="B449" s="15"/>
      <c r="C449" s="15"/>
    </row>
    <row r="450">
      <c r="A450" s="15"/>
      <c r="B450" s="15"/>
      <c r="C450" s="15"/>
    </row>
    <row r="451">
      <c r="A451" s="15"/>
      <c r="B451" s="15"/>
      <c r="C451" s="15"/>
    </row>
    <row r="452">
      <c r="A452" s="15"/>
      <c r="B452" s="15"/>
      <c r="C452" s="15"/>
    </row>
    <row r="453">
      <c r="A453" s="15"/>
      <c r="B453" s="15"/>
      <c r="C453" s="15"/>
    </row>
    <row r="454">
      <c r="A454" s="15"/>
      <c r="B454" s="15"/>
      <c r="C454" s="15"/>
    </row>
    <row r="455">
      <c r="A455" s="15"/>
      <c r="B455" s="15"/>
      <c r="C455" s="15"/>
    </row>
    <row r="456">
      <c r="A456" s="15"/>
      <c r="B456" s="15"/>
      <c r="C456" s="15"/>
    </row>
    <row r="457">
      <c r="A457" s="15"/>
      <c r="B457" s="15"/>
      <c r="C457" s="15"/>
    </row>
    <row r="458">
      <c r="A458" s="15"/>
      <c r="B458" s="15"/>
      <c r="C458" s="15"/>
    </row>
    <row r="459">
      <c r="A459" s="15"/>
      <c r="B459" s="15"/>
      <c r="C459" s="15"/>
    </row>
    <row r="460">
      <c r="A460" s="15"/>
      <c r="B460" s="15"/>
      <c r="C460" s="15"/>
    </row>
    <row r="461">
      <c r="A461" s="15"/>
      <c r="B461" s="15"/>
      <c r="C461" s="15"/>
    </row>
    <row r="462">
      <c r="A462" s="15"/>
      <c r="B462" s="15"/>
      <c r="C462" s="15"/>
    </row>
    <row r="463">
      <c r="A463" s="15"/>
      <c r="B463" s="15"/>
      <c r="C463" s="15"/>
    </row>
    <row r="464">
      <c r="A464" s="15"/>
      <c r="B464" s="15"/>
      <c r="C464" s="15"/>
    </row>
    <row r="465">
      <c r="A465" s="15"/>
      <c r="B465" s="15"/>
      <c r="C465" s="15"/>
    </row>
    <row r="466">
      <c r="A466" s="15"/>
      <c r="B466" s="15"/>
      <c r="C466" s="15"/>
    </row>
    <row r="467">
      <c r="A467" s="15"/>
      <c r="B467" s="15"/>
      <c r="C467" s="15"/>
    </row>
    <row r="468">
      <c r="A468" s="15"/>
      <c r="B468" s="15"/>
      <c r="C468" s="15"/>
    </row>
    <row r="469">
      <c r="A469" s="15"/>
      <c r="B469" s="15"/>
      <c r="C469" s="15"/>
    </row>
    <row r="470">
      <c r="A470" s="15"/>
      <c r="B470" s="15"/>
      <c r="C470" s="15"/>
    </row>
    <row r="471">
      <c r="A471" s="15"/>
      <c r="B471" s="15"/>
      <c r="C471" s="15"/>
    </row>
    <row r="472">
      <c r="A472" s="15"/>
      <c r="B472" s="15"/>
      <c r="C472" s="15"/>
    </row>
    <row r="473">
      <c r="A473" s="15"/>
      <c r="B473" s="15"/>
      <c r="C473" s="15"/>
    </row>
    <row r="474">
      <c r="A474" s="15"/>
      <c r="B474" s="15"/>
      <c r="C474" s="15"/>
    </row>
    <row r="475">
      <c r="A475" s="15"/>
      <c r="B475" s="15"/>
      <c r="C475" s="15"/>
    </row>
    <row r="476">
      <c r="A476" s="15"/>
      <c r="B476" s="15"/>
      <c r="C476" s="15"/>
    </row>
    <row r="477">
      <c r="A477" s="15"/>
      <c r="B477" s="15"/>
      <c r="C477" s="15"/>
    </row>
    <row r="478">
      <c r="A478" s="15"/>
      <c r="B478" s="15"/>
      <c r="C478" s="15"/>
    </row>
    <row r="479">
      <c r="A479" s="15"/>
      <c r="B479" s="15"/>
      <c r="C479" s="15"/>
    </row>
    <row r="480">
      <c r="A480" s="15"/>
      <c r="B480" s="15"/>
      <c r="C480" s="15"/>
    </row>
    <row r="481">
      <c r="A481" s="15"/>
      <c r="B481" s="15"/>
      <c r="C481" s="15"/>
    </row>
    <row r="482">
      <c r="A482" s="15"/>
      <c r="B482" s="15"/>
      <c r="C482" s="15"/>
    </row>
    <row r="483">
      <c r="A483" s="15"/>
      <c r="B483" s="15"/>
      <c r="C483" s="15"/>
    </row>
    <row r="484">
      <c r="A484" s="15"/>
      <c r="B484" s="15"/>
      <c r="C484" s="15"/>
    </row>
    <row r="485">
      <c r="A485" s="15"/>
      <c r="B485" s="15"/>
      <c r="C485" s="15"/>
    </row>
    <row r="486">
      <c r="A486" s="15"/>
      <c r="B486" s="15"/>
      <c r="C486" s="15"/>
    </row>
    <row r="487">
      <c r="A487" s="15"/>
      <c r="B487" s="15"/>
      <c r="C487" s="15"/>
    </row>
    <row r="488">
      <c r="A488" s="15"/>
      <c r="B488" s="15"/>
      <c r="C488" s="15"/>
    </row>
    <row r="489">
      <c r="A489" s="15"/>
      <c r="B489" s="15"/>
      <c r="C489" s="15"/>
    </row>
    <row r="490">
      <c r="A490" s="15"/>
      <c r="B490" s="15"/>
      <c r="C490" s="15"/>
    </row>
    <row r="491">
      <c r="A491" s="15"/>
      <c r="B491" s="15"/>
      <c r="C491" s="15"/>
    </row>
    <row r="492">
      <c r="A492" s="15"/>
      <c r="B492" s="15"/>
      <c r="C492" s="15"/>
    </row>
    <row r="493">
      <c r="A493" s="15"/>
      <c r="B493" s="15"/>
      <c r="C493" s="15"/>
    </row>
    <row r="494">
      <c r="A494" s="15"/>
      <c r="B494" s="15"/>
      <c r="C494" s="15"/>
    </row>
    <row r="495">
      <c r="A495" s="15"/>
      <c r="B495" s="15"/>
      <c r="C495" s="15"/>
    </row>
    <row r="496">
      <c r="A496" s="15"/>
      <c r="B496" s="15"/>
      <c r="C496" s="15"/>
    </row>
    <row r="497">
      <c r="A497" s="15"/>
      <c r="B497" s="15"/>
      <c r="C497" s="15"/>
    </row>
    <row r="498">
      <c r="A498" s="15"/>
      <c r="B498" s="15"/>
      <c r="C498" s="15"/>
    </row>
    <row r="499">
      <c r="A499" s="15"/>
      <c r="B499" s="15"/>
      <c r="C499" s="15"/>
    </row>
    <row r="500">
      <c r="A500" s="15"/>
      <c r="B500" s="15"/>
      <c r="C500" s="15"/>
    </row>
    <row r="501">
      <c r="A501" s="15"/>
      <c r="B501" s="15"/>
      <c r="C501" s="15"/>
    </row>
    <row r="502">
      <c r="A502" s="15"/>
      <c r="B502" s="15"/>
      <c r="C502" s="15"/>
    </row>
    <row r="503">
      <c r="A503" s="15"/>
      <c r="B503" s="15"/>
      <c r="C503" s="15"/>
    </row>
    <row r="504">
      <c r="A504" s="15"/>
      <c r="B504" s="15"/>
      <c r="C504" s="15"/>
    </row>
    <row r="505">
      <c r="A505" s="15"/>
      <c r="B505" s="15"/>
      <c r="C505" s="15"/>
    </row>
    <row r="506">
      <c r="A506" s="15"/>
      <c r="B506" s="15"/>
      <c r="C506" s="15"/>
    </row>
    <row r="507">
      <c r="A507" s="15"/>
      <c r="B507" s="15"/>
      <c r="C507" s="15"/>
    </row>
    <row r="508">
      <c r="A508" s="15"/>
      <c r="B508" s="15"/>
      <c r="C508" s="15"/>
    </row>
    <row r="509">
      <c r="A509" s="15"/>
      <c r="B509" s="15"/>
      <c r="C509" s="15"/>
    </row>
    <row r="510">
      <c r="A510" s="15"/>
      <c r="B510" s="15"/>
      <c r="C510" s="15"/>
    </row>
    <row r="511">
      <c r="A511" s="15"/>
      <c r="B511" s="15"/>
      <c r="C511" s="15"/>
    </row>
    <row r="512">
      <c r="A512" s="15"/>
      <c r="B512" s="15"/>
      <c r="C512" s="15"/>
    </row>
    <row r="513">
      <c r="A513" s="15"/>
      <c r="B513" s="15"/>
      <c r="C513" s="15"/>
    </row>
    <row r="514">
      <c r="A514" s="15"/>
      <c r="B514" s="15"/>
      <c r="C514" s="15"/>
    </row>
    <row r="515">
      <c r="A515" s="15"/>
      <c r="B515" s="15"/>
      <c r="C515" s="15"/>
    </row>
    <row r="516">
      <c r="A516" s="15"/>
      <c r="B516" s="15"/>
      <c r="C516" s="15"/>
    </row>
    <row r="517">
      <c r="A517" s="15"/>
      <c r="B517" s="15"/>
      <c r="C517" s="15"/>
    </row>
    <row r="518">
      <c r="A518" s="15"/>
      <c r="B518" s="15"/>
      <c r="C518" s="15"/>
    </row>
    <row r="519">
      <c r="A519" s="15"/>
      <c r="B519" s="15"/>
      <c r="C519" s="15"/>
    </row>
    <row r="520">
      <c r="A520" s="15"/>
      <c r="B520" s="15"/>
      <c r="C520" s="15"/>
    </row>
    <row r="521">
      <c r="A521" s="15"/>
      <c r="B521" s="15"/>
      <c r="C521" s="15"/>
    </row>
    <row r="522">
      <c r="A522" s="15"/>
      <c r="B522" s="15"/>
      <c r="C522" s="15"/>
    </row>
    <row r="523">
      <c r="A523" s="15"/>
      <c r="B523" s="15"/>
      <c r="C523" s="15"/>
    </row>
    <row r="524">
      <c r="A524" s="15"/>
      <c r="B524" s="15"/>
      <c r="C524" s="15"/>
    </row>
    <row r="525">
      <c r="A525" s="15"/>
      <c r="B525" s="15"/>
      <c r="C525" s="15"/>
    </row>
    <row r="526">
      <c r="A526" s="15"/>
      <c r="B526" s="15"/>
      <c r="C526" s="15"/>
    </row>
    <row r="527">
      <c r="A527" s="15"/>
      <c r="B527" s="15"/>
      <c r="C527" s="15"/>
    </row>
    <row r="528">
      <c r="A528" s="15"/>
      <c r="B528" s="15"/>
      <c r="C528" s="15"/>
    </row>
    <row r="529">
      <c r="A529" s="15"/>
      <c r="B529" s="15"/>
      <c r="C529" s="15"/>
    </row>
    <row r="530">
      <c r="A530" s="15"/>
      <c r="B530" s="15"/>
      <c r="C530" s="15"/>
    </row>
    <row r="531">
      <c r="A531" s="15"/>
      <c r="B531" s="15"/>
      <c r="C531" s="15"/>
    </row>
    <row r="532">
      <c r="A532" s="15"/>
      <c r="B532" s="15"/>
      <c r="C532" s="15"/>
    </row>
    <row r="533">
      <c r="A533" s="15"/>
      <c r="B533" s="15"/>
      <c r="C533" s="15"/>
    </row>
    <row r="534">
      <c r="A534" s="15"/>
      <c r="B534" s="15"/>
      <c r="C534" s="15"/>
    </row>
    <row r="535">
      <c r="A535" s="15"/>
      <c r="B535" s="15"/>
      <c r="C535" s="15"/>
    </row>
    <row r="536">
      <c r="A536" s="15"/>
      <c r="B536" s="15"/>
      <c r="C536" s="15"/>
    </row>
    <row r="537">
      <c r="A537" s="15"/>
      <c r="B537" s="15"/>
      <c r="C537" s="15"/>
    </row>
    <row r="538">
      <c r="A538" s="15"/>
      <c r="B538" s="15"/>
      <c r="C538" s="15"/>
    </row>
    <row r="539">
      <c r="A539" s="15"/>
      <c r="B539" s="15"/>
      <c r="C539" s="15"/>
    </row>
    <row r="540">
      <c r="A540" s="15"/>
      <c r="B540" s="15"/>
      <c r="C540" s="15"/>
    </row>
    <row r="541">
      <c r="A541" s="15"/>
      <c r="B541" s="15"/>
      <c r="C541" s="15"/>
    </row>
    <row r="542">
      <c r="A542" s="15"/>
      <c r="B542" s="15"/>
      <c r="C542" s="15"/>
    </row>
    <row r="543">
      <c r="A543" s="15"/>
      <c r="B543" s="15"/>
      <c r="C543" s="15"/>
    </row>
    <row r="544">
      <c r="A544" s="15"/>
      <c r="B544" s="15"/>
      <c r="C544" s="15"/>
    </row>
    <row r="545">
      <c r="A545" s="15"/>
      <c r="B545" s="15"/>
      <c r="C545" s="15"/>
    </row>
    <row r="546">
      <c r="A546" s="15"/>
      <c r="B546" s="15"/>
      <c r="C546" s="15"/>
    </row>
    <row r="547">
      <c r="A547" s="15"/>
      <c r="B547" s="15"/>
      <c r="C547" s="15"/>
    </row>
    <row r="548">
      <c r="A548" s="15"/>
      <c r="B548" s="15"/>
      <c r="C548" s="15"/>
    </row>
    <row r="549">
      <c r="A549" s="15"/>
      <c r="B549" s="15"/>
      <c r="C549" s="15"/>
    </row>
    <row r="550">
      <c r="A550" s="15"/>
      <c r="B550" s="15"/>
      <c r="C550" s="15"/>
    </row>
    <row r="551">
      <c r="A551" s="15"/>
      <c r="B551" s="15"/>
      <c r="C551" s="15"/>
    </row>
    <row r="552">
      <c r="A552" s="15"/>
      <c r="B552" s="15"/>
      <c r="C552" s="15"/>
    </row>
    <row r="553">
      <c r="A553" s="15"/>
      <c r="B553" s="15"/>
      <c r="C553" s="15"/>
    </row>
    <row r="554">
      <c r="A554" s="15"/>
      <c r="B554" s="15"/>
      <c r="C554" s="15"/>
    </row>
    <row r="555">
      <c r="A555" s="15"/>
      <c r="B555" s="15"/>
      <c r="C555" s="15"/>
    </row>
    <row r="556">
      <c r="A556" s="15"/>
      <c r="B556" s="15"/>
      <c r="C556" s="15"/>
    </row>
    <row r="557">
      <c r="A557" s="15"/>
      <c r="B557" s="15"/>
      <c r="C557" s="15"/>
    </row>
    <row r="558">
      <c r="A558" s="15"/>
      <c r="B558" s="15"/>
      <c r="C558" s="15"/>
    </row>
    <row r="559">
      <c r="A559" s="15"/>
      <c r="B559" s="15"/>
      <c r="C559" s="15"/>
    </row>
    <row r="560">
      <c r="A560" s="15"/>
      <c r="B560" s="15"/>
      <c r="C560" s="15"/>
    </row>
    <row r="561">
      <c r="A561" s="15"/>
      <c r="B561" s="15"/>
      <c r="C561" s="15"/>
    </row>
    <row r="562">
      <c r="A562" s="15"/>
      <c r="B562" s="15"/>
      <c r="C562" s="15"/>
    </row>
    <row r="563">
      <c r="A563" s="15"/>
      <c r="B563" s="15"/>
      <c r="C563" s="15"/>
    </row>
    <row r="564">
      <c r="A564" s="15"/>
      <c r="B564" s="15"/>
      <c r="C564" s="15"/>
    </row>
    <row r="565">
      <c r="A565" s="15"/>
      <c r="B565" s="15"/>
      <c r="C565" s="15"/>
    </row>
    <row r="566">
      <c r="A566" s="15"/>
      <c r="B566" s="15"/>
      <c r="C566" s="15"/>
    </row>
    <row r="567">
      <c r="A567" s="15"/>
      <c r="B567" s="15"/>
      <c r="C567" s="15"/>
    </row>
    <row r="568">
      <c r="A568" s="15"/>
      <c r="B568" s="15"/>
      <c r="C568" s="15"/>
    </row>
    <row r="569">
      <c r="A569" s="15"/>
      <c r="B569" s="15"/>
      <c r="C569" s="15"/>
    </row>
    <row r="570">
      <c r="A570" s="15"/>
      <c r="B570" s="15"/>
      <c r="C570" s="15"/>
    </row>
    <row r="571">
      <c r="A571" s="15"/>
      <c r="B571" s="15"/>
      <c r="C571" s="15"/>
    </row>
    <row r="572">
      <c r="A572" s="15"/>
      <c r="B572" s="15"/>
      <c r="C572" s="15"/>
    </row>
    <row r="573">
      <c r="A573" s="15"/>
      <c r="B573" s="15"/>
      <c r="C573" s="15"/>
    </row>
    <row r="574">
      <c r="A574" s="15"/>
      <c r="B574" s="15"/>
      <c r="C574" s="15"/>
    </row>
    <row r="575">
      <c r="A575" s="15"/>
      <c r="B575" s="15"/>
      <c r="C575" s="15"/>
    </row>
    <row r="576">
      <c r="A576" s="15"/>
      <c r="B576" s="15"/>
      <c r="C576" s="15"/>
    </row>
    <row r="577">
      <c r="A577" s="15"/>
      <c r="B577" s="15"/>
      <c r="C577" s="15"/>
    </row>
    <row r="578">
      <c r="A578" s="15"/>
      <c r="B578" s="15"/>
      <c r="C578" s="15"/>
    </row>
    <row r="579">
      <c r="A579" s="15"/>
      <c r="B579" s="15"/>
      <c r="C579" s="15"/>
    </row>
    <row r="580">
      <c r="A580" s="15"/>
      <c r="B580" s="15"/>
      <c r="C580" s="15"/>
    </row>
    <row r="581">
      <c r="A581" s="15"/>
      <c r="B581" s="15"/>
      <c r="C581" s="15"/>
    </row>
    <row r="582">
      <c r="A582" s="15"/>
      <c r="B582" s="15"/>
      <c r="C582" s="15"/>
    </row>
    <row r="583">
      <c r="A583" s="15"/>
      <c r="B583" s="15"/>
      <c r="C583" s="15"/>
    </row>
    <row r="584">
      <c r="A584" s="15"/>
      <c r="B584" s="15"/>
      <c r="C584" s="15"/>
    </row>
    <row r="585">
      <c r="A585" s="15"/>
      <c r="B585" s="15"/>
      <c r="C585" s="15"/>
    </row>
    <row r="586">
      <c r="A586" s="15"/>
      <c r="B586" s="15"/>
      <c r="C586" s="15"/>
    </row>
    <row r="587">
      <c r="A587" s="15"/>
      <c r="B587" s="15"/>
      <c r="C587" s="15"/>
    </row>
    <row r="588">
      <c r="A588" s="15"/>
      <c r="B588" s="15"/>
      <c r="C588" s="15"/>
    </row>
    <row r="589">
      <c r="A589" s="15"/>
      <c r="B589" s="15"/>
      <c r="C589" s="15"/>
    </row>
    <row r="590">
      <c r="A590" s="15"/>
      <c r="B590" s="15"/>
      <c r="C590" s="15"/>
    </row>
    <row r="591">
      <c r="A591" s="15"/>
      <c r="B591" s="15"/>
      <c r="C591" s="15"/>
    </row>
    <row r="592">
      <c r="A592" s="15"/>
      <c r="B592" s="15"/>
      <c r="C592" s="15"/>
    </row>
    <row r="593">
      <c r="A593" s="15"/>
      <c r="B593" s="15"/>
      <c r="C593" s="15"/>
    </row>
    <row r="594">
      <c r="A594" s="15"/>
      <c r="B594" s="15"/>
      <c r="C594" s="15"/>
    </row>
    <row r="595">
      <c r="A595" s="15"/>
      <c r="B595" s="15"/>
      <c r="C595" s="15"/>
    </row>
    <row r="596">
      <c r="A596" s="15"/>
      <c r="B596" s="15"/>
      <c r="C596" s="15"/>
    </row>
    <row r="597">
      <c r="A597" s="15"/>
      <c r="B597" s="15"/>
      <c r="C597" s="15"/>
    </row>
    <row r="598">
      <c r="A598" s="15"/>
      <c r="B598" s="15"/>
      <c r="C598" s="15"/>
    </row>
    <row r="599">
      <c r="A599" s="15"/>
      <c r="B599" s="15"/>
      <c r="C599" s="15"/>
    </row>
    <row r="600">
      <c r="A600" s="15"/>
      <c r="B600" s="15"/>
      <c r="C600" s="15"/>
    </row>
    <row r="601">
      <c r="A601" s="15"/>
      <c r="B601" s="15"/>
      <c r="C601" s="15"/>
    </row>
    <row r="602">
      <c r="A602" s="15"/>
      <c r="B602" s="15"/>
      <c r="C602" s="15"/>
    </row>
    <row r="603">
      <c r="A603" s="15"/>
      <c r="B603" s="15"/>
      <c r="C603" s="15"/>
    </row>
    <row r="604">
      <c r="A604" s="15"/>
      <c r="B604" s="15"/>
      <c r="C604" s="15"/>
    </row>
    <row r="605">
      <c r="A605" s="15"/>
      <c r="B605" s="15"/>
      <c r="C605" s="15"/>
    </row>
    <row r="606">
      <c r="A606" s="15"/>
      <c r="B606" s="15"/>
      <c r="C606" s="15"/>
    </row>
    <row r="607">
      <c r="A607" s="15"/>
      <c r="B607" s="15"/>
      <c r="C607" s="15"/>
    </row>
    <row r="608">
      <c r="A608" s="15"/>
      <c r="B608" s="15"/>
      <c r="C608" s="15"/>
    </row>
    <row r="609">
      <c r="A609" s="15"/>
      <c r="B609" s="15"/>
      <c r="C609" s="15"/>
    </row>
    <row r="610">
      <c r="A610" s="15"/>
      <c r="B610" s="15"/>
      <c r="C610" s="15"/>
    </row>
    <row r="611">
      <c r="A611" s="15"/>
      <c r="B611" s="15"/>
      <c r="C611" s="15"/>
    </row>
    <row r="612">
      <c r="A612" s="15"/>
      <c r="B612" s="15"/>
      <c r="C612" s="15"/>
    </row>
    <row r="613">
      <c r="A613" s="15"/>
      <c r="B613" s="15"/>
      <c r="C613" s="15"/>
    </row>
    <row r="614">
      <c r="A614" s="15"/>
      <c r="B614" s="15"/>
      <c r="C614" s="15"/>
    </row>
    <row r="615">
      <c r="A615" s="15"/>
      <c r="B615" s="15"/>
      <c r="C615" s="15"/>
    </row>
    <row r="616">
      <c r="A616" s="15"/>
      <c r="B616" s="15"/>
      <c r="C616" s="15"/>
    </row>
    <row r="617">
      <c r="A617" s="15"/>
      <c r="B617" s="15"/>
      <c r="C617" s="15"/>
    </row>
    <row r="618">
      <c r="A618" s="15"/>
      <c r="B618" s="15"/>
      <c r="C618" s="15"/>
    </row>
    <row r="619">
      <c r="A619" s="15"/>
      <c r="B619" s="15"/>
      <c r="C619" s="15"/>
    </row>
    <row r="620">
      <c r="A620" s="15"/>
      <c r="B620" s="15"/>
      <c r="C620" s="15"/>
    </row>
    <row r="621">
      <c r="A621" s="15"/>
      <c r="B621" s="15"/>
      <c r="C621" s="15"/>
    </row>
    <row r="622">
      <c r="A622" s="15"/>
      <c r="B622" s="15"/>
      <c r="C622" s="15"/>
    </row>
    <row r="623">
      <c r="A623" s="15"/>
      <c r="B623" s="15"/>
      <c r="C623" s="15"/>
    </row>
    <row r="624">
      <c r="A624" s="15"/>
      <c r="B624" s="15"/>
      <c r="C624" s="15"/>
    </row>
    <row r="625">
      <c r="A625" s="15"/>
      <c r="B625" s="15"/>
      <c r="C625" s="15"/>
    </row>
    <row r="626">
      <c r="A626" s="15"/>
      <c r="B626" s="15"/>
      <c r="C626" s="15"/>
    </row>
    <row r="627">
      <c r="A627" s="15"/>
      <c r="B627" s="15"/>
      <c r="C627" s="15"/>
    </row>
    <row r="628">
      <c r="A628" s="15"/>
      <c r="B628" s="15"/>
      <c r="C628" s="15"/>
    </row>
    <row r="629">
      <c r="A629" s="15"/>
      <c r="B629" s="15"/>
      <c r="C629" s="15"/>
    </row>
    <row r="630">
      <c r="A630" s="15"/>
      <c r="B630" s="15"/>
      <c r="C630" s="15"/>
    </row>
    <row r="631">
      <c r="A631" s="15"/>
      <c r="B631" s="15"/>
      <c r="C631" s="15"/>
    </row>
    <row r="632">
      <c r="A632" s="15"/>
      <c r="B632" s="15"/>
      <c r="C632" s="15"/>
    </row>
    <row r="633">
      <c r="A633" s="15"/>
      <c r="B633" s="15"/>
      <c r="C633" s="15"/>
    </row>
    <row r="634">
      <c r="A634" s="15"/>
      <c r="B634" s="15"/>
      <c r="C634" s="15"/>
    </row>
    <row r="635">
      <c r="A635" s="15"/>
      <c r="B635" s="15"/>
      <c r="C635" s="15"/>
    </row>
    <row r="636">
      <c r="A636" s="15"/>
      <c r="B636" s="15"/>
      <c r="C636" s="15"/>
    </row>
    <row r="637">
      <c r="A637" s="15"/>
      <c r="B637" s="15"/>
      <c r="C637" s="15"/>
    </row>
    <row r="638">
      <c r="A638" s="15"/>
      <c r="B638" s="15"/>
      <c r="C638" s="15"/>
    </row>
    <row r="639">
      <c r="A639" s="15"/>
      <c r="B639" s="15"/>
      <c r="C639" s="15"/>
    </row>
    <row r="640">
      <c r="A640" s="15"/>
      <c r="B640" s="15"/>
      <c r="C640" s="15"/>
    </row>
    <row r="641">
      <c r="A641" s="15"/>
      <c r="B641" s="15"/>
      <c r="C641" s="15"/>
    </row>
    <row r="642">
      <c r="A642" s="15"/>
      <c r="B642" s="15"/>
      <c r="C642" s="15"/>
    </row>
    <row r="643">
      <c r="A643" s="15"/>
      <c r="B643" s="15"/>
      <c r="C643" s="15"/>
    </row>
    <row r="644">
      <c r="A644" s="15"/>
      <c r="B644" s="15"/>
      <c r="C644" s="15"/>
    </row>
    <row r="645">
      <c r="A645" s="15"/>
      <c r="B645" s="15"/>
      <c r="C645" s="15"/>
    </row>
    <row r="646">
      <c r="A646" s="15"/>
      <c r="B646" s="15"/>
      <c r="C646" s="15"/>
    </row>
    <row r="647">
      <c r="A647" s="15"/>
      <c r="B647" s="15"/>
      <c r="C647" s="15"/>
    </row>
    <row r="648">
      <c r="A648" s="15"/>
      <c r="B648" s="15"/>
      <c r="C648" s="15"/>
    </row>
    <row r="649">
      <c r="A649" s="15"/>
      <c r="B649" s="15"/>
      <c r="C649" s="15"/>
    </row>
    <row r="650">
      <c r="A650" s="15"/>
      <c r="B650" s="15"/>
      <c r="C650" s="15"/>
    </row>
    <row r="651">
      <c r="A651" s="15"/>
      <c r="B651" s="15"/>
      <c r="C651" s="15"/>
    </row>
    <row r="652">
      <c r="A652" s="15"/>
      <c r="B652" s="15"/>
      <c r="C652" s="15"/>
    </row>
    <row r="653">
      <c r="A653" s="15"/>
      <c r="B653" s="15"/>
      <c r="C653" s="15"/>
    </row>
    <row r="654">
      <c r="A654" s="15"/>
      <c r="B654" s="15"/>
      <c r="C654" s="15"/>
    </row>
    <row r="655">
      <c r="A655" s="15"/>
      <c r="B655" s="15"/>
      <c r="C655" s="15"/>
    </row>
    <row r="656">
      <c r="A656" s="15"/>
      <c r="B656" s="15"/>
      <c r="C656" s="15"/>
    </row>
    <row r="657">
      <c r="A657" s="15"/>
      <c r="B657" s="15"/>
      <c r="C657" s="15"/>
    </row>
    <row r="658">
      <c r="A658" s="15"/>
      <c r="B658" s="15"/>
      <c r="C658" s="15"/>
    </row>
    <row r="659">
      <c r="A659" s="15"/>
      <c r="B659" s="15"/>
      <c r="C659" s="15"/>
    </row>
    <row r="660">
      <c r="A660" s="15"/>
      <c r="B660" s="15"/>
      <c r="C660" s="15"/>
    </row>
    <row r="661">
      <c r="A661" s="15"/>
      <c r="B661" s="15"/>
      <c r="C661" s="15"/>
    </row>
    <row r="662">
      <c r="A662" s="15"/>
      <c r="B662" s="15"/>
      <c r="C662" s="15"/>
    </row>
    <row r="663">
      <c r="A663" s="15"/>
      <c r="B663" s="15"/>
      <c r="C663" s="15"/>
    </row>
    <row r="664">
      <c r="A664" s="15"/>
      <c r="B664" s="15"/>
      <c r="C664" s="15"/>
    </row>
    <row r="665">
      <c r="A665" s="15"/>
      <c r="B665" s="15"/>
      <c r="C665" s="15"/>
    </row>
    <row r="666">
      <c r="A666" s="15"/>
      <c r="B666" s="15"/>
      <c r="C666" s="15"/>
    </row>
    <row r="667">
      <c r="A667" s="15"/>
      <c r="B667" s="15"/>
      <c r="C667" s="15"/>
    </row>
    <row r="668">
      <c r="A668" s="15"/>
      <c r="B668" s="15"/>
      <c r="C668" s="15"/>
    </row>
    <row r="669">
      <c r="A669" s="15"/>
      <c r="B669" s="15"/>
      <c r="C669" s="15"/>
    </row>
    <row r="670">
      <c r="A670" s="15"/>
      <c r="B670" s="15"/>
      <c r="C670" s="15"/>
    </row>
    <row r="671">
      <c r="A671" s="15"/>
      <c r="B671" s="15"/>
      <c r="C671" s="15"/>
    </row>
    <row r="672">
      <c r="A672" s="15"/>
      <c r="B672" s="15"/>
      <c r="C672" s="15"/>
    </row>
    <row r="673">
      <c r="A673" s="15"/>
      <c r="B673" s="15"/>
      <c r="C673" s="15"/>
    </row>
    <row r="674">
      <c r="A674" s="15"/>
      <c r="B674" s="15"/>
      <c r="C674" s="15"/>
    </row>
    <row r="675">
      <c r="A675" s="15"/>
      <c r="B675" s="15"/>
      <c r="C675" s="15"/>
    </row>
    <row r="676">
      <c r="A676" s="15"/>
      <c r="B676" s="15"/>
      <c r="C676" s="15"/>
    </row>
    <row r="677">
      <c r="A677" s="15"/>
      <c r="B677" s="15"/>
      <c r="C677" s="15"/>
    </row>
    <row r="678">
      <c r="A678" s="15"/>
      <c r="B678" s="15"/>
      <c r="C678" s="15"/>
    </row>
    <row r="679">
      <c r="A679" s="15"/>
      <c r="B679" s="15"/>
      <c r="C679" s="15"/>
    </row>
    <row r="680">
      <c r="A680" s="15"/>
      <c r="B680" s="15"/>
      <c r="C680" s="15"/>
    </row>
    <row r="681">
      <c r="A681" s="15"/>
      <c r="B681" s="15"/>
      <c r="C681" s="15"/>
    </row>
    <row r="682">
      <c r="A682" s="15"/>
      <c r="B682" s="15"/>
      <c r="C682" s="15"/>
    </row>
    <row r="683">
      <c r="A683" s="15"/>
      <c r="B683" s="15"/>
      <c r="C683" s="15"/>
    </row>
    <row r="684">
      <c r="A684" s="15"/>
      <c r="B684" s="15"/>
      <c r="C684" s="15"/>
    </row>
    <row r="685">
      <c r="A685" s="15"/>
      <c r="B685" s="15"/>
      <c r="C685" s="15"/>
    </row>
    <row r="686">
      <c r="A686" s="15"/>
      <c r="B686" s="15"/>
      <c r="C686" s="15"/>
    </row>
    <row r="687">
      <c r="A687" s="15"/>
      <c r="B687" s="15"/>
      <c r="C687" s="15"/>
    </row>
    <row r="688">
      <c r="A688" s="15"/>
      <c r="B688" s="15"/>
      <c r="C688" s="15"/>
    </row>
    <row r="689">
      <c r="A689" s="15"/>
      <c r="B689" s="15"/>
      <c r="C689" s="15"/>
    </row>
    <row r="690">
      <c r="A690" s="15"/>
      <c r="B690" s="15"/>
      <c r="C690" s="15"/>
    </row>
    <row r="691">
      <c r="A691" s="15"/>
      <c r="B691" s="15"/>
      <c r="C691" s="15"/>
    </row>
    <row r="692">
      <c r="A692" s="15"/>
      <c r="B692" s="15"/>
      <c r="C692" s="15"/>
    </row>
    <row r="693">
      <c r="A693" s="15"/>
      <c r="B693" s="15"/>
      <c r="C693" s="15"/>
    </row>
    <row r="694">
      <c r="A694" s="15"/>
      <c r="B694" s="15"/>
      <c r="C694" s="15"/>
    </row>
    <row r="695">
      <c r="A695" s="15"/>
      <c r="B695" s="15"/>
      <c r="C695" s="15"/>
    </row>
    <row r="696">
      <c r="A696" s="15"/>
      <c r="B696" s="15"/>
      <c r="C696" s="15"/>
    </row>
    <row r="697">
      <c r="A697" s="15"/>
      <c r="B697" s="15"/>
      <c r="C697" s="15"/>
    </row>
    <row r="698">
      <c r="A698" s="15"/>
      <c r="B698" s="15"/>
      <c r="C698" s="15"/>
    </row>
    <row r="699">
      <c r="A699" s="15"/>
      <c r="B699" s="15"/>
      <c r="C699" s="15"/>
    </row>
    <row r="700">
      <c r="A700" s="15"/>
      <c r="B700" s="15"/>
      <c r="C700" s="15"/>
    </row>
    <row r="701">
      <c r="A701" s="15"/>
      <c r="B701" s="15"/>
      <c r="C701" s="15"/>
    </row>
    <row r="702">
      <c r="A702" s="15"/>
      <c r="B702" s="15"/>
      <c r="C702" s="15"/>
    </row>
    <row r="703">
      <c r="A703" s="15"/>
      <c r="B703" s="15"/>
      <c r="C703" s="15"/>
    </row>
    <row r="704">
      <c r="A704" s="15"/>
      <c r="B704" s="15"/>
      <c r="C704" s="15"/>
    </row>
    <row r="705">
      <c r="A705" s="15"/>
      <c r="B705" s="15"/>
      <c r="C705" s="15"/>
    </row>
    <row r="706">
      <c r="A706" s="15"/>
      <c r="B706" s="15"/>
      <c r="C706" s="15"/>
    </row>
    <row r="707">
      <c r="A707" s="15"/>
      <c r="B707" s="15"/>
      <c r="C707" s="15"/>
    </row>
    <row r="708">
      <c r="A708" s="15"/>
      <c r="B708" s="15"/>
      <c r="C708" s="15"/>
    </row>
    <row r="709">
      <c r="A709" s="15"/>
      <c r="B709" s="15"/>
      <c r="C709" s="15"/>
    </row>
    <row r="710">
      <c r="A710" s="15"/>
      <c r="B710" s="15"/>
      <c r="C710" s="15"/>
    </row>
    <row r="711">
      <c r="A711" s="15"/>
      <c r="B711" s="15"/>
      <c r="C711" s="15"/>
    </row>
    <row r="712">
      <c r="A712" s="15"/>
      <c r="B712" s="15"/>
      <c r="C712" s="15"/>
    </row>
    <row r="713">
      <c r="A713" s="15"/>
      <c r="B713" s="15"/>
      <c r="C713" s="15"/>
    </row>
    <row r="714">
      <c r="A714" s="15"/>
      <c r="B714" s="15"/>
      <c r="C714" s="15"/>
    </row>
    <row r="715">
      <c r="A715" s="15"/>
      <c r="B715" s="15"/>
      <c r="C715" s="15"/>
    </row>
    <row r="716">
      <c r="A716" s="15"/>
      <c r="B716" s="15"/>
      <c r="C716" s="15"/>
    </row>
    <row r="717">
      <c r="A717" s="15"/>
      <c r="B717" s="15"/>
      <c r="C717" s="15"/>
    </row>
    <row r="718">
      <c r="A718" s="15"/>
      <c r="B718" s="15"/>
      <c r="C718" s="15"/>
    </row>
    <row r="719">
      <c r="A719" s="15"/>
      <c r="B719" s="15"/>
      <c r="C719" s="15"/>
    </row>
    <row r="720">
      <c r="A720" s="15"/>
      <c r="B720" s="15"/>
      <c r="C720" s="15"/>
    </row>
    <row r="721">
      <c r="A721" s="15"/>
      <c r="B721" s="15"/>
      <c r="C721" s="15"/>
    </row>
    <row r="722">
      <c r="A722" s="15"/>
      <c r="B722" s="15"/>
      <c r="C722" s="15"/>
    </row>
    <row r="723">
      <c r="A723" s="15"/>
      <c r="B723" s="15"/>
      <c r="C723" s="15"/>
    </row>
    <row r="724">
      <c r="A724" s="15"/>
      <c r="B724" s="15"/>
      <c r="C724" s="15"/>
    </row>
    <row r="725">
      <c r="A725" s="15"/>
      <c r="B725" s="15"/>
      <c r="C725" s="15"/>
    </row>
    <row r="726">
      <c r="A726" s="15"/>
      <c r="B726" s="15"/>
      <c r="C726" s="15"/>
    </row>
    <row r="727">
      <c r="A727" s="15"/>
      <c r="B727" s="15"/>
      <c r="C727" s="15"/>
    </row>
    <row r="728">
      <c r="A728" s="15"/>
      <c r="B728" s="15"/>
      <c r="C728" s="15"/>
    </row>
    <row r="729">
      <c r="A729" s="15"/>
      <c r="B729" s="15"/>
      <c r="C729" s="15"/>
    </row>
    <row r="730">
      <c r="A730" s="15"/>
      <c r="B730" s="15"/>
      <c r="C730" s="15"/>
    </row>
    <row r="731">
      <c r="A731" s="15"/>
      <c r="B731" s="15"/>
      <c r="C731" s="15"/>
    </row>
    <row r="732">
      <c r="A732" s="15"/>
      <c r="B732" s="15"/>
      <c r="C732" s="15"/>
    </row>
    <row r="733">
      <c r="A733" s="15"/>
      <c r="B733" s="15"/>
      <c r="C733" s="15"/>
    </row>
    <row r="734">
      <c r="A734" s="15"/>
      <c r="B734" s="15"/>
      <c r="C734" s="15"/>
    </row>
    <row r="735">
      <c r="A735" s="15"/>
      <c r="B735" s="15"/>
      <c r="C735" s="15"/>
    </row>
    <row r="736">
      <c r="A736" s="15"/>
      <c r="B736" s="15"/>
      <c r="C736" s="15"/>
    </row>
    <row r="737">
      <c r="A737" s="15"/>
      <c r="B737" s="15"/>
      <c r="C737" s="15"/>
    </row>
    <row r="738">
      <c r="A738" s="15"/>
      <c r="B738" s="15"/>
      <c r="C738" s="15"/>
    </row>
    <row r="739">
      <c r="A739" s="15"/>
      <c r="B739" s="15"/>
      <c r="C739" s="15"/>
    </row>
    <row r="740">
      <c r="A740" s="15"/>
      <c r="B740" s="15"/>
      <c r="C740" s="15"/>
    </row>
    <row r="741">
      <c r="A741" s="15"/>
      <c r="B741" s="15"/>
      <c r="C741" s="15"/>
    </row>
    <row r="742">
      <c r="A742" s="15"/>
      <c r="B742" s="15"/>
      <c r="C742" s="15"/>
    </row>
    <row r="743">
      <c r="A743" s="15"/>
      <c r="B743" s="15"/>
      <c r="C743" s="15"/>
    </row>
    <row r="744">
      <c r="A744" s="15"/>
      <c r="B744" s="15"/>
      <c r="C744" s="15"/>
    </row>
    <row r="745">
      <c r="A745" s="15"/>
      <c r="B745" s="15"/>
      <c r="C745" s="15"/>
    </row>
    <row r="746">
      <c r="A746" s="15"/>
      <c r="B746" s="15"/>
      <c r="C746" s="15"/>
    </row>
    <row r="747">
      <c r="A747" s="15"/>
      <c r="B747" s="15"/>
      <c r="C747" s="15"/>
    </row>
    <row r="748">
      <c r="A748" s="15"/>
      <c r="B748" s="15"/>
      <c r="C748" s="15"/>
    </row>
    <row r="749">
      <c r="A749" s="15"/>
      <c r="B749" s="15"/>
      <c r="C749" s="15"/>
    </row>
    <row r="750">
      <c r="A750" s="15"/>
      <c r="B750" s="15"/>
      <c r="C750" s="15"/>
    </row>
    <row r="751">
      <c r="A751" s="15"/>
      <c r="B751" s="15"/>
      <c r="C751" s="15"/>
    </row>
    <row r="752">
      <c r="A752" s="15"/>
      <c r="B752" s="15"/>
      <c r="C752" s="15"/>
    </row>
    <row r="753">
      <c r="A753" s="15"/>
      <c r="B753" s="15"/>
      <c r="C753" s="15"/>
    </row>
    <row r="754">
      <c r="A754" s="15"/>
      <c r="B754" s="15"/>
      <c r="C754" s="15"/>
    </row>
    <row r="755">
      <c r="A755" s="15"/>
      <c r="B755" s="15"/>
      <c r="C755" s="15"/>
    </row>
    <row r="756">
      <c r="A756" s="15"/>
      <c r="B756" s="15"/>
      <c r="C756" s="15"/>
    </row>
    <row r="757">
      <c r="A757" s="15"/>
      <c r="B757" s="15"/>
      <c r="C757" s="15"/>
    </row>
    <row r="758">
      <c r="A758" s="15"/>
      <c r="B758" s="15"/>
      <c r="C758" s="15"/>
    </row>
    <row r="759">
      <c r="A759" s="15"/>
      <c r="B759" s="15"/>
      <c r="C759" s="15"/>
    </row>
    <row r="760">
      <c r="A760" s="15"/>
      <c r="B760" s="15"/>
      <c r="C760" s="15"/>
    </row>
    <row r="761">
      <c r="A761" s="15"/>
      <c r="B761" s="15"/>
      <c r="C761" s="15"/>
    </row>
    <row r="762">
      <c r="A762" s="15"/>
      <c r="B762" s="15"/>
      <c r="C762" s="15"/>
    </row>
    <row r="763">
      <c r="A763" s="15"/>
      <c r="B763" s="15"/>
      <c r="C763" s="15"/>
    </row>
    <row r="764">
      <c r="A764" s="15"/>
      <c r="B764" s="15"/>
      <c r="C764" s="15"/>
    </row>
    <row r="765">
      <c r="A765" s="15"/>
      <c r="B765" s="15"/>
      <c r="C765" s="15"/>
    </row>
    <row r="766">
      <c r="A766" s="15"/>
      <c r="B766" s="15"/>
      <c r="C766" s="15"/>
    </row>
    <row r="767">
      <c r="A767" s="15"/>
      <c r="B767" s="15"/>
      <c r="C767" s="15"/>
    </row>
    <row r="768">
      <c r="A768" s="15"/>
      <c r="B768" s="15"/>
      <c r="C768" s="15"/>
    </row>
    <row r="769">
      <c r="A769" s="15"/>
      <c r="B769" s="15"/>
      <c r="C769" s="15"/>
    </row>
    <row r="770">
      <c r="A770" s="15"/>
      <c r="B770" s="15"/>
      <c r="C770" s="15"/>
    </row>
    <row r="771">
      <c r="A771" s="15"/>
      <c r="B771" s="15"/>
      <c r="C771" s="15"/>
    </row>
    <row r="772">
      <c r="A772" s="15"/>
      <c r="B772" s="15"/>
      <c r="C772" s="15"/>
    </row>
    <row r="773">
      <c r="A773" s="15"/>
      <c r="B773" s="15"/>
      <c r="C773" s="15"/>
    </row>
    <row r="774">
      <c r="A774" s="15"/>
      <c r="B774" s="15"/>
      <c r="C774" s="15"/>
    </row>
    <row r="775">
      <c r="A775" s="15"/>
      <c r="B775" s="15"/>
      <c r="C775" s="15"/>
    </row>
    <row r="776">
      <c r="A776" s="15"/>
      <c r="B776" s="15"/>
      <c r="C776" s="15"/>
    </row>
    <row r="777">
      <c r="A777" s="15"/>
      <c r="B777" s="15"/>
      <c r="C777" s="15"/>
    </row>
    <row r="778">
      <c r="A778" s="15"/>
      <c r="B778" s="15"/>
      <c r="C778" s="15"/>
    </row>
    <row r="779">
      <c r="A779" s="15"/>
      <c r="B779" s="15"/>
      <c r="C779" s="15"/>
    </row>
    <row r="780">
      <c r="A780" s="15"/>
      <c r="B780" s="15"/>
      <c r="C780" s="15"/>
    </row>
    <row r="781">
      <c r="A781" s="15"/>
      <c r="B781" s="15"/>
      <c r="C781" s="15"/>
    </row>
    <row r="782">
      <c r="A782" s="15"/>
      <c r="B782" s="15"/>
      <c r="C782" s="15"/>
    </row>
    <row r="783">
      <c r="A783" s="15"/>
      <c r="B783" s="15"/>
      <c r="C783" s="15"/>
    </row>
    <row r="784">
      <c r="A784" s="15"/>
      <c r="B784" s="15"/>
      <c r="C784" s="15"/>
    </row>
    <row r="785">
      <c r="A785" s="15"/>
      <c r="B785" s="15"/>
      <c r="C785" s="15"/>
    </row>
    <row r="786">
      <c r="A786" s="15"/>
      <c r="B786" s="15"/>
      <c r="C786" s="15"/>
    </row>
    <row r="787">
      <c r="A787" s="15"/>
      <c r="B787" s="15"/>
      <c r="C787" s="15"/>
    </row>
    <row r="788">
      <c r="A788" s="15"/>
      <c r="B788" s="15"/>
      <c r="C788" s="15"/>
    </row>
    <row r="789">
      <c r="A789" s="15"/>
      <c r="B789" s="15"/>
      <c r="C789" s="15"/>
    </row>
    <row r="790">
      <c r="A790" s="15"/>
      <c r="B790" s="15"/>
      <c r="C790" s="15"/>
    </row>
    <row r="791">
      <c r="A791" s="15"/>
      <c r="B791" s="15"/>
      <c r="C791" s="15"/>
    </row>
    <row r="792">
      <c r="A792" s="15"/>
      <c r="B792" s="15"/>
      <c r="C792" s="15"/>
    </row>
    <row r="793">
      <c r="A793" s="15"/>
      <c r="B793" s="15"/>
      <c r="C793" s="15"/>
    </row>
    <row r="794">
      <c r="A794" s="15"/>
      <c r="B794" s="15"/>
      <c r="C794" s="15"/>
    </row>
    <row r="795">
      <c r="A795" s="15"/>
      <c r="B795" s="15"/>
      <c r="C795" s="15"/>
    </row>
    <row r="796">
      <c r="A796" s="15"/>
      <c r="B796" s="15"/>
      <c r="C796" s="15"/>
    </row>
    <row r="797">
      <c r="A797" s="15"/>
      <c r="B797" s="15"/>
      <c r="C797" s="15"/>
    </row>
    <row r="798">
      <c r="A798" s="15"/>
      <c r="B798" s="15"/>
      <c r="C798" s="15"/>
    </row>
    <row r="799">
      <c r="A799" s="15"/>
      <c r="B799" s="15"/>
      <c r="C799" s="15"/>
    </row>
    <row r="800">
      <c r="A800" s="15"/>
      <c r="B800" s="15"/>
      <c r="C800" s="15"/>
    </row>
    <row r="801">
      <c r="A801" s="15"/>
      <c r="B801" s="15"/>
      <c r="C801" s="15"/>
    </row>
    <row r="802">
      <c r="A802" s="15"/>
      <c r="B802" s="15"/>
      <c r="C802" s="15"/>
    </row>
    <row r="803">
      <c r="A803" s="15"/>
      <c r="B803" s="15"/>
      <c r="C803" s="15"/>
    </row>
    <row r="804">
      <c r="A804" s="15"/>
      <c r="B804" s="15"/>
      <c r="C804" s="15"/>
    </row>
    <row r="805">
      <c r="A805" s="15"/>
      <c r="B805" s="15"/>
      <c r="C805" s="15"/>
    </row>
    <row r="806">
      <c r="A806" s="15"/>
      <c r="B806" s="15"/>
      <c r="C806" s="15"/>
    </row>
    <row r="807">
      <c r="A807" s="15"/>
      <c r="B807" s="15"/>
      <c r="C807" s="15"/>
    </row>
    <row r="808">
      <c r="A808" s="15"/>
      <c r="B808" s="15"/>
      <c r="C808" s="15"/>
    </row>
    <row r="809">
      <c r="A809" s="15"/>
      <c r="B809" s="15"/>
      <c r="C809" s="15"/>
    </row>
    <row r="810">
      <c r="A810" s="15"/>
      <c r="B810" s="15"/>
      <c r="C810" s="15"/>
    </row>
    <row r="811">
      <c r="A811" s="15"/>
      <c r="B811" s="15"/>
      <c r="C811" s="15"/>
    </row>
    <row r="812">
      <c r="A812" s="15"/>
      <c r="B812" s="15"/>
      <c r="C812" s="15"/>
    </row>
    <row r="813">
      <c r="A813" s="15"/>
      <c r="B813" s="15"/>
      <c r="C813" s="15"/>
    </row>
    <row r="814">
      <c r="A814" s="15"/>
      <c r="B814" s="15"/>
      <c r="C814" s="15"/>
    </row>
    <row r="815">
      <c r="A815" s="15"/>
      <c r="B815" s="15"/>
      <c r="C815" s="15"/>
    </row>
    <row r="816">
      <c r="A816" s="15"/>
      <c r="B816" s="15"/>
      <c r="C816" s="15"/>
    </row>
    <row r="817">
      <c r="A817" s="15"/>
      <c r="B817" s="15"/>
      <c r="C817" s="15"/>
    </row>
    <row r="818">
      <c r="A818" s="15"/>
      <c r="B818" s="15"/>
      <c r="C818" s="15"/>
    </row>
    <row r="819">
      <c r="A819" s="15"/>
      <c r="B819" s="15"/>
      <c r="C819" s="15"/>
    </row>
    <row r="820">
      <c r="A820" s="15"/>
      <c r="B820" s="15"/>
      <c r="C820" s="15"/>
    </row>
    <row r="821">
      <c r="A821" s="15"/>
      <c r="B821" s="15"/>
      <c r="C821" s="15"/>
    </row>
    <row r="822">
      <c r="A822" s="15"/>
      <c r="B822" s="15"/>
      <c r="C822" s="15"/>
    </row>
    <row r="823">
      <c r="A823" s="15"/>
      <c r="B823" s="15"/>
      <c r="C823" s="15"/>
    </row>
    <row r="824">
      <c r="A824" s="15"/>
      <c r="B824" s="15"/>
      <c r="C824" s="15"/>
    </row>
    <row r="825">
      <c r="A825" s="15"/>
      <c r="B825" s="15"/>
      <c r="C825" s="15"/>
    </row>
    <row r="826">
      <c r="A826" s="15"/>
      <c r="B826" s="15"/>
      <c r="C826" s="15"/>
    </row>
    <row r="827">
      <c r="A827" s="15"/>
      <c r="B827" s="15"/>
      <c r="C827" s="15"/>
    </row>
    <row r="828">
      <c r="A828" s="15"/>
      <c r="B828" s="15"/>
      <c r="C828" s="15"/>
    </row>
    <row r="829">
      <c r="A829" s="15"/>
      <c r="B829" s="15"/>
      <c r="C829" s="15"/>
    </row>
    <row r="830">
      <c r="A830" s="15"/>
      <c r="B830" s="15"/>
      <c r="C830" s="15"/>
    </row>
    <row r="831">
      <c r="A831" s="15"/>
      <c r="B831" s="15"/>
      <c r="C831" s="15"/>
    </row>
    <row r="832">
      <c r="A832" s="15"/>
      <c r="B832" s="15"/>
      <c r="C832" s="15"/>
    </row>
    <row r="833">
      <c r="A833" s="15"/>
      <c r="B833" s="15"/>
      <c r="C833" s="15"/>
    </row>
    <row r="834">
      <c r="A834" s="15"/>
      <c r="B834" s="15"/>
      <c r="C834" s="15"/>
    </row>
    <row r="835">
      <c r="A835" s="15"/>
      <c r="B835" s="15"/>
      <c r="C835" s="15"/>
    </row>
    <row r="836">
      <c r="A836" s="15"/>
      <c r="B836" s="15"/>
      <c r="C836" s="15"/>
    </row>
    <row r="837">
      <c r="A837" s="15"/>
      <c r="B837" s="15"/>
      <c r="C837" s="15"/>
    </row>
    <row r="838">
      <c r="A838" s="15"/>
      <c r="B838" s="15"/>
      <c r="C838" s="15"/>
    </row>
    <row r="839">
      <c r="A839" s="15"/>
      <c r="B839" s="15"/>
      <c r="C839" s="15"/>
    </row>
    <row r="840">
      <c r="A840" s="15"/>
      <c r="B840" s="15"/>
      <c r="C840" s="15"/>
    </row>
    <row r="841">
      <c r="A841" s="15"/>
      <c r="B841" s="15"/>
      <c r="C841" s="15"/>
    </row>
    <row r="842">
      <c r="A842" s="15"/>
      <c r="B842" s="15"/>
      <c r="C842" s="15"/>
    </row>
    <row r="843">
      <c r="A843" s="15"/>
      <c r="B843" s="15"/>
      <c r="C843" s="15"/>
    </row>
    <row r="844">
      <c r="A844" s="15"/>
      <c r="B844" s="15"/>
      <c r="C844" s="15"/>
    </row>
    <row r="845">
      <c r="A845" s="15"/>
      <c r="B845" s="15"/>
      <c r="C845" s="15"/>
    </row>
    <row r="846">
      <c r="A846" s="15"/>
      <c r="B846" s="15"/>
      <c r="C846" s="15"/>
    </row>
    <row r="847">
      <c r="A847" s="15"/>
      <c r="B847" s="15"/>
      <c r="C847" s="15"/>
    </row>
    <row r="848">
      <c r="A848" s="15"/>
      <c r="B848" s="15"/>
      <c r="C848" s="15"/>
    </row>
    <row r="849">
      <c r="A849" s="15"/>
      <c r="B849" s="15"/>
      <c r="C849" s="15"/>
    </row>
    <row r="850">
      <c r="A850" s="15"/>
      <c r="B850" s="15"/>
      <c r="C850" s="15"/>
    </row>
    <row r="851">
      <c r="A851" s="15"/>
      <c r="B851" s="15"/>
      <c r="C851" s="15"/>
    </row>
    <row r="852">
      <c r="A852" s="15"/>
      <c r="B852" s="15"/>
      <c r="C852" s="15"/>
    </row>
    <row r="853">
      <c r="A853" s="15"/>
      <c r="B853" s="15"/>
      <c r="C853" s="15"/>
    </row>
    <row r="854">
      <c r="A854" s="15"/>
      <c r="B854" s="15"/>
      <c r="C854" s="15"/>
    </row>
    <row r="855">
      <c r="A855" s="15"/>
      <c r="B855" s="15"/>
      <c r="C855" s="15"/>
    </row>
    <row r="856">
      <c r="A856" s="15"/>
      <c r="B856" s="15"/>
      <c r="C856" s="15"/>
    </row>
    <row r="857">
      <c r="A857" s="15"/>
      <c r="B857" s="15"/>
      <c r="C857" s="15"/>
    </row>
    <row r="858">
      <c r="A858" s="15"/>
      <c r="B858" s="15"/>
      <c r="C858" s="15"/>
    </row>
    <row r="859">
      <c r="A859" s="15"/>
      <c r="B859" s="15"/>
      <c r="C859" s="15"/>
    </row>
    <row r="860">
      <c r="A860" s="15"/>
      <c r="B860" s="15"/>
      <c r="C860" s="15"/>
    </row>
    <row r="861">
      <c r="A861" s="15"/>
      <c r="B861" s="15"/>
      <c r="C861" s="15"/>
    </row>
    <row r="862">
      <c r="A862" s="15"/>
      <c r="B862" s="15"/>
      <c r="C862" s="15"/>
    </row>
    <row r="863">
      <c r="A863" s="15"/>
      <c r="B863" s="15"/>
      <c r="C863" s="15"/>
    </row>
    <row r="864">
      <c r="A864" s="15"/>
      <c r="B864" s="15"/>
      <c r="C864" s="15"/>
    </row>
    <row r="865">
      <c r="A865" s="15"/>
      <c r="B865" s="15"/>
      <c r="C865" s="15"/>
    </row>
    <row r="866">
      <c r="A866" s="15"/>
      <c r="B866" s="15"/>
      <c r="C866" s="15"/>
    </row>
    <row r="867">
      <c r="A867" s="15"/>
      <c r="B867" s="15"/>
      <c r="C867" s="15"/>
    </row>
    <row r="868">
      <c r="A868" s="15"/>
      <c r="B868" s="15"/>
      <c r="C868" s="15"/>
    </row>
    <row r="869">
      <c r="A869" s="15"/>
      <c r="B869" s="15"/>
      <c r="C869" s="15"/>
    </row>
    <row r="870">
      <c r="A870" s="15"/>
      <c r="B870" s="15"/>
      <c r="C870" s="15"/>
    </row>
    <row r="871">
      <c r="A871" s="15"/>
      <c r="B871" s="15"/>
      <c r="C871" s="15"/>
    </row>
    <row r="872">
      <c r="A872" s="15"/>
      <c r="B872" s="15"/>
      <c r="C872" s="15"/>
    </row>
    <row r="873">
      <c r="A873" s="15"/>
      <c r="B873" s="15"/>
      <c r="C873" s="15"/>
    </row>
    <row r="874">
      <c r="A874" s="15"/>
      <c r="B874" s="15"/>
      <c r="C874" s="15"/>
    </row>
    <row r="875">
      <c r="A875" s="15"/>
      <c r="B875" s="15"/>
      <c r="C875" s="15"/>
    </row>
    <row r="876">
      <c r="A876" s="15"/>
      <c r="B876" s="15"/>
      <c r="C876" s="15"/>
    </row>
    <row r="877">
      <c r="A877" s="15"/>
      <c r="B877" s="15"/>
      <c r="C877" s="15"/>
    </row>
    <row r="878">
      <c r="A878" s="15"/>
      <c r="B878" s="15"/>
      <c r="C878" s="15"/>
    </row>
    <row r="879">
      <c r="A879" s="15"/>
      <c r="B879" s="15"/>
      <c r="C879" s="15"/>
    </row>
    <row r="880">
      <c r="A880" s="15"/>
      <c r="B880" s="15"/>
      <c r="C880" s="15"/>
    </row>
    <row r="881">
      <c r="A881" s="15"/>
      <c r="B881" s="15"/>
      <c r="C881" s="15"/>
    </row>
    <row r="882">
      <c r="A882" s="15"/>
      <c r="B882" s="15"/>
      <c r="C882" s="15"/>
    </row>
    <row r="883">
      <c r="A883" s="15"/>
      <c r="B883" s="15"/>
      <c r="C883" s="15"/>
    </row>
    <row r="884">
      <c r="A884" s="15"/>
      <c r="B884" s="15"/>
      <c r="C884" s="15"/>
    </row>
    <row r="885">
      <c r="A885" s="15"/>
      <c r="B885" s="15"/>
      <c r="C885" s="15"/>
    </row>
    <row r="886">
      <c r="A886" s="15"/>
      <c r="B886" s="15"/>
      <c r="C886" s="15"/>
    </row>
    <row r="887">
      <c r="A887" s="15"/>
      <c r="B887" s="15"/>
      <c r="C887" s="15"/>
    </row>
    <row r="888">
      <c r="A888" s="15"/>
      <c r="B888" s="15"/>
      <c r="C888" s="15"/>
    </row>
    <row r="889">
      <c r="A889" s="15"/>
      <c r="B889" s="15"/>
      <c r="C889" s="15"/>
    </row>
    <row r="890">
      <c r="A890" s="15"/>
      <c r="B890" s="15"/>
      <c r="C890" s="15"/>
    </row>
    <row r="891">
      <c r="A891" s="15"/>
      <c r="B891" s="15"/>
      <c r="C891" s="15"/>
    </row>
    <row r="892">
      <c r="A892" s="15"/>
      <c r="B892" s="15"/>
      <c r="C892" s="15"/>
    </row>
    <row r="893">
      <c r="A893" s="15"/>
      <c r="B893" s="15"/>
      <c r="C893" s="15"/>
    </row>
    <row r="894">
      <c r="A894" s="15"/>
      <c r="B894" s="15"/>
      <c r="C894" s="15"/>
    </row>
    <row r="895">
      <c r="A895" s="15"/>
      <c r="B895" s="15"/>
      <c r="C895" s="15"/>
    </row>
    <row r="896">
      <c r="A896" s="15"/>
      <c r="B896" s="15"/>
      <c r="C896" s="15"/>
    </row>
    <row r="897">
      <c r="A897" s="15"/>
      <c r="B897" s="15"/>
      <c r="C897" s="15"/>
    </row>
    <row r="898">
      <c r="A898" s="15"/>
      <c r="B898" s="15"/>
      <c r="C898" s="15"/>
    </row>
    <row r="899">
      <c r="A899" s="15"/>
      <c r="B899" s="15"/>
      <c r="C899" s="15"/>
    </row>
    <row r="900">
      <c r="A900" s="15"/>
      <c r="B900" s="15"/>
      <c r="C900" s="15"/>
    </row>
    <row r="901">
      <c r="A901" s="15"/>
      <c r="B901" s="15"/>
      <c r="C901" s="15"/>
    </row>
    <row r="902">
      <c r="A902" s="15"/>
      <c r="B902" s="15"/>
      <c r="C902" s="15"/>
    </row>
    <row r="903">
      <c r="A903" s="15"/>
      <c r="B903" s="15"/>
      <c r="C903" s="15"/>
    </row>
    <row r="904">
      <c r="A904" s="15"/>
      <c r="B904" s="15"/>
      <c r="C904" s="15"/>
    </row>
    <row r="905">
      <c r="A905" s="15"/>
      <c r="B905" s="15"/>
      <c r="C905" s="15"/>
    </row>
    <row r="906">
      <c r="A906" s="15"/>
      <c r="B906" s="15"/>
      <c r="C906" s="15"/>
    </row>
    <row r="907">
      <c r="A907" s="15"/>
      <c r="B907" s="15"/>
      <c r="C907" s="15"/>
    </row>
    <row r="908">
      <c r="A908" s="15"/>
      <c r="B908" s="15"/>
      <c r="C908" s="15"/>
    </row>
    <row r="909">
      <c r="A909" s="15"/>
      <c r="B909" s="15"/>
      <c r="C909" s="15"/>
    </row>
    <row r="910">
      <c r="A910" s="15"/>
      <c r="B910" s="15"/>
      <c r="C910" s="15"/>
    </row>
    <row r="911">
      <c r="A911" s="15"/>
      <c r="B911" s="15"/>
      <c r="C911" s="15"/>
    </row>
    <row r="912">
      <c r="A912" s="15"/>
      <c r="B912" s="15"/>
      <c r="C912" s="15"/>
    </row>
    <row r="913">
      <c r="A913" s="15"/>
      <c r="B913" s="15"/>
      <c r="C913" s="15"/>
    </row>
    <row r="914">
      <c r="A914" s="15"/>
      <c r="B914" s="15"/>
      <c r="C914" s="15"/>
    </row>
    <row r="915">
      <c r="A915" s="15"/>
      <c r="B915" s="15"/>
      <c r="C915" s="15"/>
    </row>
    <row r="916">
      <c r="A916" s="15"/>
      <c r="B916" s="15"/>
      <c r="C916" s="15"/>
    </row>
    <row r="917">
      <c r="A917" s="15"/>
      <c r="B917" s="15"/>
      <c r="C917" s="15"/>
    </row>
    <row r="918">
      <c r="A918" s="15"/>
      <c r="B918" s="15"/>
      <c r="C918" s="15"/>
    </row>
    <row r="919">
      <c r="A919" s="15"/>
      <c r="B919" s="15"/>
      <c r="C919" s="15"/>
    </row>
    <row r="920">
      <c r="A920" s="15"/>
      <c r="B920" s="15"/>
      <c r="C920" s="15"/>
    </row>
    <row r="921">
      <c r="A921" s="15"/>
      <c r="B921" s="15"/>
      <c r="C921" s="15"/>
    </row>
    <row r="922">
      <c r="A922" s="15"/>
      <c r="B922" s="15"/>
      <c r="C922" s="15"/>
    </row>
    <row r="923">
      <c r="A923" s="15"/>
      <c r="B923" s="15"/>
      <c r="C923" s="15"/>
    </row>
    <row r="924">
      <c r="A924" s="15"/>
      <c r="B924" s="15"/>
      <c r="C924" s="15"/>
    </row>
    <row r="925">
      <c r="A925" s="15"/>
      <c r="B925" s="15"/>
      <c r="C925" s="15"/>
    </row>
    <row r="926">
      <c r="A926" s="15"/>
      <c r="B926" s="15"/>
      <c r="C926" s="15"/>
    </row>
    <row r="927">
      <c r="A927" s="15"/>
      <c r="B927" s="15"/>
      <c r="C927" s="15"/>
    </row>
    <row r="928">
      <c r="A928" s="15"/>
      <c r="B928" s="15"/>
      <c r="C928" s="15"/>
    </row>
    <row r="929">
      <c r="A929" s="15"/>
      <c r="B929" s="15"/>
      <c r="C929" s="15"/>
    </row>
    <row r="930">
      <c r="A930" s="15"/>
      <c r="B930" s="15"/>
      <c r="C930" s="15"/>
    </row>
    <row r="931">
      <c r="A931" s="15"/>
      <c r="B931" s="15"/>
      <c r="C931" s="15"/>
    </row>
    <row r="932">
      <c r="A932" s="15"/>
      <c r="B932" s="15"/>
      <c r="C932" s="15"/>
    </row>
    <row r="933">
      <c r="A933" s="15"/>
      <c r="B933" s="15"/>
      <c r="C933" s="15"/>
    </row>
    <row r="934">
      <c r="A934" s="15"/>
      <c r="B934" s="15"/>
      <c r="C934" s="15"/>
    </row>
    <row r="935">
      <c r="A935" s="15"/>
      <c r="B935" s="15"/>
      <c r="C935" s="15"/>
    </row>
    <row r="936">
      <c r="A936" s="15"/>
      <c r="B936" s="15"/>
      <c r="C936" s="15"/>
    </row>
    <row r="937">
      <c r="A937" s="15"/>
      <c r="B937" s="15"/>
      <c r="C937" s="15"/>
    </row>
    <row r="938">
      <c r="A938" s="15"/>
      <c r="B938" s="15"/>
      <c r="C938" s="15"/>
    </row>
    <row r="939">
      <c r="A939" s="15"/>
      <c r="B939" s="15"/>
      <c r="C939" s="15"/>
    </row>
    <row r="940">
      <c r="A940" s="15"/>
      <c r="B940" s="15"/>
      <c r="C940" s="15"/>
    </row>
    <row r="941">
      <c r="A941" s="15"/>
      <c r="B941" s="15"/>
      <c r="C941" s="15"/>
    </row>
    <row r="942">
      <c r="A942" s="15"/>
      <c r="B942" s="15"/>
      <c r="C942" s="15"/>
    </row>
    <row r="943">
      <c r="A943" s="15"/>
      <c r="B943" s="15"/>
      <c r="C943" s="15"/>
    </row>
    <row r="944">
      <c r="A944" s="15"/>
      <c r="B944" s="15"/>
      <c r="C944" s="15"/>
    </row>
    <row r="945">
      <c r="A945" s="15"/>
      <c r="B945" s="15"/>
      <c r="C945" s="15"/>
    </row>
    <row r="946">
      <c r="A946" s="15"/>
      <c r="B946" s="15"/>
      <c r="C946" s="15"/>
    </row>
    <row r="947">
      <c r="A947" s="15"/>
      <c r="B947" s="15"/>
      <c r="C947" s="15"/>
    </row>
    <row r="948">
      <c r="A948" s="15"/>
      <c r="B948" s="15"/>
      <c r="C948" s="15"/>
    </row>
    <row r="949">
      <c r="A949" s="15"/>
      <c r="B949" s="15"/>
      <c r="C949" s="15"/>
    </row>
    <row r="950">
      <c r="A950" s="15"/>
      <c r="B950" s="15"/>
      <c r="C950" s="15"/>
    </row>
    <row r="951">
      <c r="A951" s="15"/>
      <c r="B951" s="15"/>
      <c r="C951" s="15"/>
    </row>
    <row r="952">
      <c r="A952" s="15"/>
      <c r="B952" s="15"/>
      <c r="C952" s="15"/>
    </row>
    <row r="953">
      <c r="A953" s="15"/>
      <c r="B953" s="15"/>
      <c r="C953" s="15"/>
    </row>
    <row r="954">
      <c r="A954" s="15"/>
      <c r="B954" s="15"/>
      <c r="C954" s="15"/>
    </row>
    <row r="955">
      <c r="A955" s="15"/>
      <c r="B955" s="15"/>
      <c r="C955" s="15"/>
    </row>
    <row r="956">
      <c r="A956" s="15"/>
      <c r="B956" s="15"/>
      <c r="C956" s="15"/>
    </row>
    <row r="957">
      <c r="A957" s="15"/>
      <c r="B957" s="15"/>
      <c r="C957" s="15"/>
    </row>
    <row r="958">
      <c r="A958" s="15"/>
      <c r="B958" s="15"/>
      <c r="C958" s="15"/>
    </row>
    <row r="959">
      <c r="A959" s="15"/>
      <c r="B959" s="15"/>
      <c r="C959" s="15"/>
    </row>
    <row r="960">
      <c r="A960" s="15"/>
      <c r="B960" s="15"/>
      <c r="C960" s="15"/>
    </row>
    <row r="961">
      <c r="A961" s="15"/>
      <c r="B961" s="15"/>
      <c r="C961" s="15"/>
    </row>
    <row r="962">
      <c r="A962" s="15"/>
      <c r="B962" s="15"/>
      <c r="C962" s="15"/>
    </row>
    <row r="963">
      <c r="A963" s="15"/>
      <c r="B963" s="15"/>
      <c r="C963" s="15"/>
    </row>
    <row r="964">
      <c r="A964" s="15"/>
      <c r="B964" s="15"/>
      <c r="C964" s="15"/>
    </row>
    <row r="965">
      <c r="A965" s="15"/>
      <c r="B965" s="15"/>
      <c r="C965" s="15"/>
    </row>
    <row r="966">
      <c r="A966" s="15"/>
      <c r="B966" s="15"/>
      <c r="C966" s="15"/>
    </row>
    <row r="967">
      <c r="A967" s="15"/>
      <c r="B967" s="15"/>
      <c r="C967" s="15"/>
    </row>
    <row r="968">
      <c r="A968" s="15"/>
      <c r="B968" s="15"/>
      <c r="C968" s="15"/>
    </row>
    <row r="969">
      <c r="A969" s="15"/>
      <c r="B969" s="15"/>
      <c r="C969" s="15"/>
    </row>
    <row r="970">
      <c r="A970" s="15"/>
      <c r="B970" s="15"/>
      <c r="C970" s="15"/>
    </row>
    <row r="971">
      <c r="A971" s="15"/>
      <c r="B971" s="15"/>
      <c r="C971" s="15"/>
    </row>
    <row r="972">
      <c r="A972" s="15"/>
      <c r="B972" s="15"/>
      <c r="C972" s="15"/>
    </row>
    <row r="973">
      <c r="A973" s="15"/>
      <c r="B973" s="15"/>
      <c r="C973" s="15"/>
    </row>
    <row r="974">
      <c r="A974" s="15"/>
      <c r="B974" s="15"/>
      <c r="C974" s="15"/>
    </row>
    <row r="975">
      <c r="A975" s="15"/>
      <c r="B975" s="15"/>
      <c r="C975" s="15"/>
    </row>
    <row r="976">
      <c r="A976" s="15"/>
      <c r="B976" s="15"/>
      <c r="C976" s="15"/>
    </row>
    <row r="977">
      <c r="A977" s="15"/>
      <c r="B977" s="15"/>
      <c r="C977" s="15"/>
    </row>
    <row r="978">
      <c r="A978" s="15"/>
      <c r="B978" s="15"/>
      <c r="C978" s="15"/>
    </row>
    <row r="979">
      <c r="A979" s="15"/>
      <c r="B979" s="15"/>
      <c r="C979" s="15"/>
    </row>
    <row r="980">
      <c r="A980" s="15"/>
      <c r="B980" s="15"/>
      <c r="C980" s="15"/>
    </row>
    <row r="981">
      <c r="A981" s="15"/>
      <c r="B981" s="15"/>
      <c r="C981" s="15"/>
    </row>
    <row r="982">
      <c r="A982" s="15"/>
      <c r="B982" s="15"/>
      <c r="C982" s="15"/>
    </row>
    <row r="983">
      <c r="A983" s="15"/>
      <c r="B983" s="15"/>
      <c r="C983" s="15"/>
    </row>
    <row r="984">
      <c r="A984" s="15"/>
      <c r="B984" s="15"/>
      <c r="C984" s="15"/>
    </row>
    <row r="985">
      <c r="A985" s="15"/>
      <c r="B985" s="15"/>
      <c r="C985" s="15"/>
    </row>
    <row r="986">
      <c r="A986" s="15"/>
      <c r="B986" s="15"/>
      <c r="C986" s="15"/>
    </row>
    <row r="987">
      <c r="A987" s="15"/>
      <c r="B987" s="15"/>
      <c r="C987" s="15"/>
    </row>
    <row r="988">
      <c r="A988" s="15"/>
      <c r="B988" s="15"/>
      <c r="C988" s="15"/>
    </row>
    <row r="989">
      <c r="A989" s="15"/>
      <c r="B989" s="15"/>
      <c r="C989" s="15"/>
    </row>
    <row r="990">
      <c r="A990" s="15"/>
      <c r="B990" s="15"/>
      <c r="C990" s="15"/>
    </row>
    <row r="991">
      <c r="A991" s="15"/>
      <c r="B991" s="15"/>
      <c r="C991" s="15"/>
    </row>
    <row r="992">
      <c r="A992" s="15"/>
      <c r="B992" s="15"/>
      <c r="C992" s="15"/>
    </row>
    <row r="993">
      <c r="A993" s="15"/>
      <c r="B993" s="15"/>
      <c r="C993" s="15"/>
    </row>
    <row r="994">
      <c r="A994" s="15"/>
      <c r="B994" s="15"/>
      <c r="C994" s="15"/>
    </row>
    <row r="995">
      <c r="A995" s="15"/>
      <c r="B995" s="15"/>
      <c r="C995" s="15"/>
    </row>
    <row r="996">
      <c r="A996" s="15"/>
      <c r="B996" s="15"/>
      <c r="C996" s="15"/>
    </row>
    <row r="997">
      <c r="A997" s="15"/>
      <c r="B997" s="15"/>
      <c r="C997" s="15"/>
    </row>
    <row r="998">
      <c r="A998" s="15"/>
      <c r="B998" s="15"/>
      <c r="C998" s="15"/>
    </row>
    <row r="999">
      <c r="A999" s="15"/>
      <c r="B999" s="15"/>
      <c r="C999" s="15"/>
    </row>
    <row r="1000">
      <c r="A1000" s="15"/>
      <c r="B1000" s="15"/>
      <c r="C1000" s="15"/>
    </row>
    <row r="1001">
      <c r="A1001" s="15"/>
      <c r="B1001" s="15"/>
      <c r="C1001" s="15"/>
    </row>
    <row r="1002">
      <c r="A1002" s="15"/>
      <c r="B1002" s="15"/>
      <c r="C1002" s="15"/>
    </row>
  </sheetData>
  <mergeCells count="4">
    <mergeCell ref="B4:C4"/>
    <mergeCell ref="B10:C10"/>
    <mergeCell ref="B11:C11"/>
    <mergeCell ref="B17:C17"/>
  </mergeCells>
  <conditionalFormatting sqref="B12:C12 B14:C14">
    <cfRule type="expression" dxfId="4" priority="1">
      <formula>AND(ISNUMBER(B12), B12 = MIN($B12:$C12))</formula>
    </cfRule>
  </conditionalFormatting>
  <conditionalFormatting sqref="B12:C12">
    <cfRule type="expression" dxfId="0" priority="2">
      <formula>""열세""</formula>
    </cfRule>
  </conditionalFormatting>
  <dataValidations>
    <dataValidation type="list" allowBlank="1" showErrorMessage="1" sqref="B2:C2">
      <formula1>'플레이어'!$A:$A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25"/>
    <col customWidth="1" min="5" max="5" width="15.0"/>
  </cols>
  <sheetData>
    <row r="1">
      <c r="A1" s="51" t="s">
        <v>148</v>
      </c>
      <c r="B1" s="51" t="s">
        <v>149</v>
      </c>
      <c r="C1" s="51" t="s">
        <v>150</v>
      </c>
      <c r="D1" s="90" t="s">
        <v>151</v>
      </c>
      <c r="E1" s="90" t="s">
        <v>152</v>
      </c>
      <c r="G1" s="90" t="s">
        <v>153</v>
      </c>
      <c r="H1" s="90" t="s">
        <v>154</v>
      </c>
    </row>
    <row r="2">
      <c r="A2" s="51">
        <v>1.0</v>
      </c>
      <c r="B2" s="51" t="s">
        <v>155</v>
      </c>
      <c r="C2" s="51" t="s">
        <v>10</v>
      </c>
      <c r="D2" s="90" t="s">
        <v>156</v>
      </c>
      <c r="E2" s="90" t="s">
        <v>157</v>
      </c>
      <c r="H2" s="90" t="s">
        <v>158</v>
      </c>
      <c r="J2" s="90" t="s">
        <v>159</v>
      </c>
    </row>
    <row r="3">
      <c r="A3" s="51">
        <v>2.0</v>
      </c>
      <c r="B3" s="51" t="s">
        <v>160</v>
      </c>
      <c r="C3" s="51" t="s">
        <v>9</v>
      </c>
      <c r="D3" s="90" t="s">
        <v>161</v>
      </c>
      <c r="H3" s="91" t="s">
        <v>162</v>
      </c>
    </row>
    <row r="4">
      <c r="A4" s="51">
        <v>3.0</v>
      </c>
      <c r="B4" s="51" t="s">
        <v>160</v>
      </c>
      <c r="C4" s="51" t="s">
        <v>9</v>
      </c>
      <c r="D4" s="90" t="s">
        <v>163</v>
      </c>
      <c r="H4" s="51" t="s">
        <v>164</v>
      </c>
    </row>
    <row r="5">
      <c r="A5" s="51">
        <v>4.0</v>
      </c>
      <c r="B5" s="51" t="s">
        <v>165</v>
      </c>
      <c r="C5" s="51" t="s">
        <v>9</v>
      </c>
      <c r="D5" s="90" t="s">
        <v>166</v>
      </c>
    </row>
    <row r="6">
      <c r="A6" s="51">
        <v>5.0</v>
      </c>
      <c r="B6" s="51" t="s">
        <v>165</v>
      </c>
      <c r="C6" s="51" t="s">
        <v>9</v>
      </c>
      <c r="D6" s="90" t="s">
        <v>167</v>
      </c>
    </row>
    <row r="7">
      <c r="A7" s="51">
        <v>6.0</v>
      </c>
      <c r="B7" s="51" t="s">
        <v>168</v>
      </c>
      <c r="C7" s="51" t="s">
        <v>9</v>
      </c>
      <c r="D7" s="90" t="s">
        <v>169</v>
      </c>
    </row>
    <row r="8">
      <c r="A8" s="51">
        <v>7.0</v>
      </c>
      <c r="B8" s="51" t="s">
        <v>168</v>
      </c>
      <c r="C8" s="51" t="s">
        <v>9</v>
      </c>
      <c r="D8" s="90" t="s">
        <v>170</v>
      </c>
    </row>
    <row r="9">
      <c r="A9" s="51">
        <v>8.0</v>
      </c>
      <c r="B9" s="51" t="s">
        <v>171</v>
      </c>
      <c r="C9" s="51" t="s">
        <v>9</v>
      </c>
      <c r="D9" s="90" t="s">
        <v>172</v>
      </c>
    </row>
    <row r="10">
      <c r="A10" s="51">
        <v>9.0</v>
      </c>
      <c r="B10" s="51" t="s">
        <v>173</v>
      </c>
      <c r="C10" s="51" t="s">
        <v>9</v>
      </c>
      <c r="D10" s="90" t="s">
        <v>174</v>
      </c>
    </row>
    <row r="11">
      <c r="A11" s="15"/>
      <c r="B11" s="15"/>
      <c r="C11" s="15"/>
    </row>
    <row r="12">
      <c r="A12" s="15"/>
      <c r="B12" s="15"/>
      <c r="C12" s="15"/>
    </row>
    <row r="13">
      <c r="A13" s="15"/>
      <c r="B13" s="15"/>
      <c r="C13" s="15"/>
    </row>
    <row r="14">
      <c r="A14" s="15"/>
      <c r="B14" s="15"/>
      <c r="C14" s="15"/>
    </row>
    <row r="15">
      <c r="A15" s="15"/>
      <c r="B15" s="15"/>
      <c r="C15" s="15"/>
    </row>
    <row r="16">
      <c r="A16" s="15"/>
      <c r="B16" s="15"/>
      <c r="C16" s="15"/>
    </row>
    <row r="17">
      <c r="A17" s="15"/>
      <c r="B17" s="15"/>
      <c r="C17" s="15"/>
    </row>
    <row r="18">
      <c r="A18" s="15"/>
      <c r="B18" s="15"/>
      <c r="C18" s="15"/>
    </row>
    <row r="19">
      <c r="A19" s="15"/>
      <c r="B19" s="15"/>
      <c r="C19" s="15"/>
    </row>
    <row r="20">
      <c r="A20" s="15"/>
      <c r="B20" s="15"/>
      <c r="C20" s="15"/>
    </row>
    <row r="21">
      <c r="A21" s="15"/>
      <c r="B21" s="15"/>
      <c r="C21" s="15"/>
    </row>
    <row r="22">
      <c r="A22" s="15"/>
      <c r="B22" s="15"/>
      <c r="C22" s="15"/>
    </row>
    <row r="23">
      <c r="A23" s="15"/>
      <c r="B23" s="15"/>
      <c r="C23" s="15"/>
    </row>
    <row r="24">
      <c r="A24" s="15"/>
      <c r="B24" s="15"/>
      <c r="C24" s="15"/>
    </row>
    <row r="25">
      <c r="A25" s="15"/>
      <c r="B25" s="15"/>
      <c r="C25" s="15"/>
    </row>
    <row r="26">
      <c r="A26" s="15"/>
      <c r="B26" s="15"/>
      <c r="C26" s="15"/>
    </row>
    <row r="27">
      <c r="A27" s="15"/>
      <c r="B27" s="15"/>
      <c r="C27" s="15"/>
    </row>
    <row r="28">
      <c r="A28" s="15"/>
      <c r="B28" s="15"/>
      <c r="C28" s="15"/>
    </row>
    <row r="29">
      <c r="A29" s="15"/>
      <c r="B29" s="15"/>
      <c r="C29" s="15"/>
    </row>
    <row r="30">
      <c r="A30" s="15"/>
      <c r="B30" s="15"/>
      <c r="C30" s="15"/>
    </row>
    <row r="31">
      <c r="A31" s="15"/>
      <c r="B31" s="15"/>
      <c r="C31" s="15"/>
    </row>
    <row r="32">
      <c r="A32" s="15"/>
      <c r="B32" s="15"/>
      <c r="C32" s="15"/>
    </row>
    <row r="33">
      <c r="A33" s="15"/>
      <c r="B33" s="15"/>
      <c r="C33" s="15"/>
    </row>
    <row r="34">
      <c r="A34" s="15"/>
      <c r="B34" s="15"/>
      <c r="C34" s="15"/>
    </row>
    <row r="35">
      <c r="A35" s="15"/>
      <c r="B35" s="15"/>
      <c r="C35" s="15"/>
    </row>
    <row r="36">
      <c r="A36" s="15"/>
      <c r="B36" s="15"/>
      <c r="C36" s="15"/>
    </row>
    <row r="37">
      <c r="A37" s="15"/>
      <c r="B37" s="15"/>
      <c r="C37" s="15"/>
    </row>
    <row r="38">
      <c r="A38" s="15"/>
      <c r="B38" s="15"/>
      <c r="C38" s="15"/>
    </row>
    <row r="39">
      <c r="A39" s="15"/>
      <c r="B39" s="15"/>
      <c r="C39" s="15"/>
    </row>
    <row r="40">
      <c r="A40" s="15"/>
      <c r="B40" s="15"/>
      <c r="C40" s="15"/>
    </row>
    <row r="41">
      <c r="A41" s="15"/>
      <c r="B41" s="15"/>
      <c r="C41" s="15"/>
    </row>
    <row r="42">
      <c r="A42" s="15"/>
      <c r="B42" s="15"/>
      <c r="C42" s="15"/>
    </row>
    <row r="43">
      <c r="A43" s="15"/>
      <c r="B43" s="15"/>
      <c r="C43" s="15"/>
    </row>
    <row r="44">
      <c r="A44" s="15"/>
      <c r="B44" s="15"/>
      <c r="C44" s="15"/>
    </row>
    <row r="45">
      <c r="A45" s="15"/>
      <c r="B45" s="15"/>
      <c r="C45" s="15"/>
    </row>
    <row r="46">
      <c r="A46" s="15"/>
      <c r="B46" s="15"/>
      <c r="C46" s="15"/>
    </row>
    <row r="47">
      <c r="A47" s="15"/>
      <c r="B47" s="15"/>
      <c r="C47" s="15"/>
    </row>
    <row r="48">
      <c r="A48" s="15"/>
      <c r="B48" s="15"/>
      <c r="C48" s="15"/>
    </row>
    <row r="49">
      <c r="A49" s="15"/>
      <c r="B49" s="15"/>
      <c r="C49" s="15"/>
    </row>
    <row r="50">
      <c r="A50" s="15"/>
      <c r="B50" s="15"/>
      <c r="C50" s="15"/>
    </row>
    <row r="51">
      <c r="A51" s="15"/>
      <c r="B51" s="15"/>
      <c r="C51" s="15"/>
    </row>
    <row r="52">
      <c r="A52" s="15"/>
      <c r="B52" s="15"/>
      <c r="C52" s="15"/>
    </row>
    <row r="53">
      <c r="A53" s="15"/>
      <c r="B53" s="15"/>
      <c r="C53" s="15"/>
    </row>
    <row r="54">
      <c r="A54" s="15"/>
      <c r="B54" s="15"/>
      <c r="C54" s="15"/>
    </row>
    <row r="55">
      <c r="A55" s="15"/>
      <c r="B55" s="15"/>
      <c r="C55" s="15"/>
    </row>
    <row r="56">
      <c r="A56" s="15"/>
      <c r="B56" s="15"/>
      <c r="C56" s="15"/>
    </row>
    <row r="57">
      <c r="A57" s="15"/>
      <c r="B57" s="15"/>
      <c r="C57" s="15"/>
    </row>
    <row r="58">
      <c r="A58" s="15"/>
      <c r="B58" s="15"/>
      <c r="C58" s="15"/>
    </row>
    <row r="59">
      <c r="A59" s="15"/>
      <c r="B59" s="15"/>
      <c r="C59" s="15"/>
    </row>
    <row r="60">
      <c r="A60" s="15"/>
      <c r="B60" s="15"/>
      <c r="C60" s="15"/>
    </row>
    <row r="61">
      <c r="A61" s="15"/>
      <c r="B61" s="15"/>
      <c r="C61" s="15"/>
    </row>
    <row r="62">
      <c r="A62" s="15"/>
      <c r="B62" s="15"/>
      <c r="C62" s="15"/>
    </row>
    <row r="63">
      <c r="A63" s="15"/>
      <c r="B63" s="15"/>
      <c r="C63" s="15"/>
    </row>
    <row r="64">
      <c r="A64" s="15"/>
      <c r="B64" s="15"/>
      <c r="C64" s="15"/>
    </row>
    <row r="65">
      <c r="A65" s="15"/>
      <c r="B65" s="15"/>
      <c r="C65" s="15"/>
    </row>
    <row r="66">
      <c r="A66" s="15"/>
      <c r="B66" s="15"/>
      <c r="C66" s="15"/>
    </row>
    <row r="67">
      <c r="A67" s="15"/>
      <c r="B67" s="15"/>
      <c r="C67" s="15"/>
    </row>
    <row r="68">
      <c r="A68" s="15"/>
      <c r="B68" s="15"/>
      <c r="C68" s="15"/>
    </row>
    <row r="69">
      <c r="A69" s="15"/>
      <c r="B69" s="15"/>
      <c r="C69" s="15"/>
    </row>
    <row r="70">
      <c r="A70" s="15"/>
      <c r="B70" s="15"/>
      <c r="C70" s="15"/>
    </row>
    <row r="71">
      <c r="A71" s="15"/>
      <c r="B71" s="15"/>
      <c r="C71" s="15"/>
    </row>
    <row r="72">
      <c r="A72" s="15"/>
      <c r="B72" s="15"/>
      <c r="C72" s="15"/>
    </row>
    <row r="73">
      <c r="A73" s="15"/>
      <c r="B73" s="15"/>
      <c r="C73" s="15"/>
    </row>
    <row r="74">
      <c r="A74" s="15"/>
      <c r="B74" s="15"/>
      <c r="C74" s="15"/>
    </row>
    <row r="75">
      <c r="A75" s="15"/>
      <c r="B75" s="15"/>
      <c r="C75" s="15"/>
    </row>
    <row r="76">
      <c r="A76" s="15"/>
      <c r="B76" s="15"/>
      <c r="C76" s="15"/>
    </row>
    <row r="77">
      <c r="A77" s="15"/>
      <c r="B77" s="15"/>
      <c r="C77" s="15"/>
    </row>
    <row r="78">
      <c r="A78" s="15"/>
      <c r="B78" s="15"/>
      <c r="C78" s="15"/>
    </row>
    <row r="79">
      <c r="A79" s="15"/>
      <c r="B79" s="15"/>
      <c r="C79" s="15"/>
    </row>
    <row r="80">
      <c r="A80" s="15"/>
      <c r="B80" s="15"/>
      <c r="C80" s="15"/>
    </row>
    <row r="81">
      <c r="A81" s="15"/>
      <c r="B81" s="15"/>
      <c r="C81" s="15"/>
    </row>
    <row r="82">
      <c r="A82" s="15"/>
      <c r="B82" s="15"/>
      <c r="C82" s="15"/>
    </row>
    <row r="83">
      <c r="A83" s="15"/>
      <c r="B83" s="15"/>
      <c r="C83" s="15"/>
    </row>
    <row r="84">
      <c r="A84" s="15"/>
      <c r="B84" s="15"/>
      <c r="C84" s="15"/>
    </row>
    <row r="85">
      <c r="A85" s="15"/>
      <c r="B85" s="15"/>
      <c r="C85" s="15"/>
    </row>
    <row r="86">
      <c r="A86" s="15"/>
      <c r="B86" s="15"/>
      <c r="C86" s="15"/>
    </row>
    <row r="87">
      <c r="A87" s="15"/>
      <c r="B87" s="15"/>
      <c r="C87" s="15"/>
    </row>
    <row r="88">
      <c r="A88" s="15"/>
      <c r="B88" s="15"/>
      <c r="C88" s="15"/>
    </row>
    <row r="89">
      <c r="A89" s="15"/>
      <c r="B89" s="15"/>
      <c r="C89" s="15"/>
    </row>
    <row r="90">
      <c r="A90" s="15"/>
      <c r="B90" s="15"/>
      <c r="C90" s="15"/>
    </row>
    <row r="91">
      <c r="A91" s="15"/>
      <c r="B91" s="15"/>
      <c r="C91" s="15"/>
    </row>
    <row r="92">
      <c r="A92" s="15"/>
      <c r="B92" s="15"/>
      <c r="C92" s="15"/>
    </row>
    <row r="93">
      <c r="A93" s="15"/>
      <c r="B93" s="15"/>
      <c r="C93" s="15"/>
    </row>
    <row r="94">
      <c r="A94" s="15"/>
      <c r="B94" s="15"/>
      <c r="C94" s="15"/>
    </row>
    <row r="95">
      <c r="A95" s="15"/>
      <c r="B95" s="15"/>
      <c r="C95" s="15"/>
    </row>
    <row r="96">
      <c r="A96" s="15"/>
      <c r="B96" s="15"/>
      <c r="C96" s="15"/>
    </row>
    <row r="97">
      <c r="A97" s="15"/>
      <c r="B97" s="15"/>
      <c r="C97" s="15"/>
    </row>
    <row r="98">
      <c r="A98" s="15"/>
      <c r="B98" s="15"/>
      <c r="C98" s="15"/>
    </row>
    <row r="99">
      <c r="A99" s="15"/>
      <c r="B99" s="15"/>
      <c r="C99" s="15"/>
    </row>
    <row r="100">
      <c r="A100" s="15"/>
      <c r="B100" s="15"/>
      <c r="C100" s="15"/>
    </row>
    <row r="101">
      <c r="A101" s="15"/>
      <c r="B101" s="15"/>
      <c r="C101" s="15"/>
    </row>
    <row r="102">
      <c r="A102" s="15"/>
      <c r="B102" s="15"/>
      <c r="C102" s="15"/>
    </row>
    <row r="103">
      <c r="A103" s="15"/>
      <c r="B103" s="15"/>
      <c r="C103" s="15"/>
    </row>
    <row r="104">
      <c r="A104" s="15"/>
      <c r="B104" s="15"/>
      <c r="C104" s="15"/>
    </row>
    <row r="105">
      <c r="A105" s="15"/>
      <c r="B105" s="15"/>
      <c r="C105" s="15"/>
    </row>
    <row r="106">
      <c r="A106" s="15"/>
      <c r="B106" s="15"/>
      <c r="C106" s="15"/>
    </row>
    <row r="107">
      <c r="A107" s="15"/>
      <c r="B107" s="15"/>
      <c r="C107" s="15"/>
    </row>
    <row r="108">
      <c r="A108" s="15"/>
      <c r="B108" s="15"/>
      <c r="C108" s="15"/>
    </row>
    <row r="109">
      <c r="A109" s="15"/>
      <c r="B109" s="15"/>
      <c r="C109" s="15"/>
    </row>
    <row r="110">
      <c r="A110" s="15"/>
      <c r="B110" s="15"/>
      <c r="C110" s="15"/>
    </row>
    <row r="111">
      <c r="A111" s="15"/>
      <c r="B111" s="15"/>
      <c r="C111" s="15"/>
    </row>
    <row r="112">
      <c r="A112" s="15"/>
      <c r="B112" s="15"/>
      <c r="C112" s="15"/>
    </row>
    <row r="113">
      <c r="A113" s="15"/>
      <c r="B113" s="15"/>
      <c r="C113" s="15"/>
    </row>
    <row r="114">
      <c r="A114" s="15"/>
      <c r="B114" s="15"/>
      <c r="C114" s="15"/>
    </row>
    <row r="115">
      <c r="A115" s="15"/>
      <c r="B115" s="15"/>
      <c r="C115" s="15"/>
    </row>
    <row r="116">
      <c r="A116" s="15"/>
      <c r="B116" s="15"/>
      <c r="C116" s="15"/>
    </row>
    <row r="117">
      <c r="A117" s="15"/>
      <c r="B117" s="15"/>
      <c r="C117" s="15"/>
    </row>
    <row r="118">
      <c r="A118" s="15"/>
      <c r="B118" s="15"/>
      <c r="C118" s="15"/>
    </row>
    <row r="119">
      <c r="A119" s="15"/>
      <c r="B119" s="15"/>
      <c r="C119" s="15"/>
    </row>
    <row r="120">
      <c r="A120" s="15"/>
      <c r="B120" s="15"/>
      <c r="C120" s="15"/>
    </row>
    <row r="121">
      <c r="A121" s="15"/>
      <c r="B121" s="15"/>
      <c r="C121" s="15"/>
    </row>
    <row r="122">
      <c r="A122" s="15"/>
      <c r="B122" s="15"/>
      <c r="C122" s="15"/>
    </row>
    <row r="123">
      <c r="A123" s="15"/>
      <c r="B123" s="15"/>
      <c r="C123" s="15"/>
    </row>
    <row r="124">
      <c r="A124" s="15"/>
      <c r="B124" s="15"/>
      <c r="C124" s="15"/>
    </row>
    <row r="125">
      <c r="A125" s="15"/>
      <c r="B125" s="15"/>
      <c r="C125" s="15"/>
    </row>
    <row r="126">
      <c r="A126" s="15"/>
      <c r="B126" s="15"/>
      <c r="C126" s="15"/>
    </row>
    <row r="127">
      <c r="A127" s="15"/>
      <c r="B127" s="15"/>
      <c r="C127" s="15"/>
    </row>
    <row r="128">
      <c r="A128" s="15"/>
      <c r="B128" s="15"/>
      <c r="C128" s="15"/>
    </row>
    <row r="129">
      <c r="A129" s="15"/>
      <c r="B129" s="15"/>
      <c r="C129" s="15"/>
    </row>
    <row r="130">
      <c r="A130" s="15"/>
      <c r="B130" s="15"/>
      <c r="C130" s="15"/>
    </row>
    <row r="131">
      <c r="A131" s="15"/>
      <c r="B131" s="15"/>
      <c r="C131" s="15"/>
    </row>
    <row r="132">
      <c r="A132" s="15"/>
      <c r="B132" s="15"/>
      <c r="C132" s="15"/>
    </row>
    <row r="133">
      <c r="A133" s="15"/>
      <c r="B133" s="15"/>
      <c r="C133" s="15"/>
    </row>
    <row r="134">
      <c r="A134" s="15"/>
      <c r="B134" s="15"/>
      <c r="C134" s="15"/>
    </row>
    <row r="135">
      <c r="A135" s="15"/>
      <c r="B135" s="15"/>
      <c r="C135" s="15"/>
    </row>
    <row r="136">
      <c r="A136" s="15"/>
      <c r="B136" s="15"/>
      <c r="C136" s="15"/>
    </row>
    <row r="137">
      <c r="A137" s="15"/>
      <c r="B137" s="15"/>
      <c r="C137" s="15"/>
    </row>
    <row r="138">
      <c r="A138" s="15"/>
      <c r="B138" s="15"/>
      <c r="C138" s="15"/>
    </row>
    <row r="139">
      <c r="A139" s="15"/>
      <c r="B139" s="15"/>
      <c r="C139" s="15"/>
    </row>
    <row r="140">
      <c r="A140" s="15"/>
      <c r="B140" s="15"/>
      <c r="C140" s="15"/>
    </row>
    <row r="141">
      <c r="A141" s="15"/>
      <c r="B141" s="15"/>
      <c r="C141" s="15"/>
    </row>
    <row r="142">
      <c r="A142" s="15"/>
      <c r="B142" s="15"/>
      <c r="C142" s="15"/>
    </row>
    <row r="143">
      <c r="A143" s="15"/>
      <c r="B143" s="15"/>
      <c r="C143" s="15"/>
    </row>
    <row r="144">
      <c r="A144" s="15"/>
      <c r="B144" s="15"/>
      <c r="C144" s="15"/>
    </row>
    <row r="145">
      <c r="A145" s="15"/>
      <c r="B145" s="15"/>
      <c r="C145" s="15"/>
    </row>
    <row r="146">
      <c r="A146" s="15"/>
      <c r="B146" s="15"/>
      <c r="C146" s="15"/>
    </row>
    <row r="147">
      <c r="A147" s="15"/>
      <c r="B147" s="15"/>
      <c r="C147" s="15"/>
    </row>
    <row r="148">
      <c r="A148" s="15"/>
      <c r="B148" s="15"/>
      <c r="C148" s="15"/>
    </row>
    <row r="149">
      <c r="A149" s="15"/>
      <c r="B149" s="15"/>
      <c r="C149" s="15"/>
    </row>
    <row r="150">
      <c r="A150" s="15"/>
      <c r="B150" s="15"/>
      <c r="C150" s="15"/>
    </row>
    <row r="151">
      <c r="A151" s="15"/>
      <c r="B151" s="15"/>
      <c r="C151" s="15"/>
    </row>
    <row r="152">
      <c r="A152" s="15"/>
      <c r="B152" s="15"/>
      <c r="C152" s="15"/>
    </row>
    <row r="153">
      <c r="A153" s="15"/>
      <c r="B153" s="15"/>
      <c r="C153" s="15"/>
    </row>
    <row r="154">
      <c r="A154" s="15"/>
      <c r="B154" s="15"/>
      <c r="C154" s="15"/>
    </row>
    <row r="155">
      <c r="A155" s="15"/>
      <c r="B155" s="15"/>
      <c r="C155" s="15"/>
    </row>
    <row r="156">
      <c r="A156" s="15"/>
      <c r="B156" s="15"/>
      <c r="C156" s="15"/>
    </row>
    <row r="157">
      <c r="A157" s="15"/>
      <c r="B157" s="15"/>
      <c r="C157" s="15"/>
    </row>
    <row r="158">
      <c r="A158" s="15"/>
      <c r="B158" s="15"/>
      <c r="C158" s="15"/>
    </row>
    <row r="159">
      <c r="A159" s="15"/>
      <c r="B159" s="15"/>
      <c r="C159" s="15"/>
    </row>
    <row r="160">
      <c r="A160" s="15"/>
      <c r="B160" s="15"/>
      <c r="C160" s="15"/>
    </row>
    <row r="161">
      <c r="A161" s="15"/>
      <c r="B161" s="15"/>
      <c r="C161" s="15"/>
    </row>
    <row r="162">
      <c r="A162" s="15"/>
      <c r="B162" s="15"/>
      <c r="C162" s="15"/>
    </row>
    <row r="163">
      <c r="A163" s="15"/>
      <c r="B163" s="15"/>
      <c r="C163" s="15"/>
    </row>
    <row r="164">
      <c r="A164" s="15"/>
      <c r="B164" s="15"/>
      <c r="C164" s="15"/>
    </row>
    <row r="165">
      <c r="A165" s="15"/>
      <c r="B165" s="15"/>
      <c r="C165" s="15"/>
    </row>
    <row r="166">
      <c r="A166" s="15"/>
      <c r="B166" s="15"/>
      <c r="C166" s="15"/>
    </row>
    <row r="167">
      <c r="A167" s="15"/>
      <c r="B167" s="15"/>
      <c r="C167" s="15"/>
    </row>
    <row r="168">
      <c r="A168" s="15"/>
      <c r="B168" s="15"/>
      <c r="C168" s="15"/>
    </row>
    <row r="169">
      <c r="A169" s="15"/>
      <c r="B169" s="15"/>
      <c r="C169" s="15"/>
    </row>
    <row r="170">
      <c r="A170" s="15"/>
      <c r="B170" s="15"/>
      <c r="C170" s="15"/>
    </row>
    <row r="171">
      <c r="A171" s="15"/>
      <c r="B171" s="15"/>
      <c r="C171" s="15"/>
    </row>
    <row r="172">
      <c r="A172" s="15"/>
      <c r="B172" s="15"/>
      <c r="C172" s="15"/>
    </row>
    <row r="173">
      <c r="A173" s="15"/>
      <c r="B173" s="15"/>
      <c r="C173" s="15"/>
    </row>
    <row r="174">
      <c r="A174" s="15"/>
      <c r="B174" s="15"/>
      <c r="C174" s="15"/>
    </row>
    <row r="175">
      <c r="A175" s="15"/>
      <c r="B175" s="15"/>
      <c r="C175" s="15"/>
    </row>
    <row r="176">
      <c r="A176" s="15"/>
      <c r="B176" s="15"/>
      <c r="C176" s="15"/>
    </row>
    <row r="177">
      <c r="A177" s="15"/>
      <c r="B177" s="15"/>
      <c r="C177" s="15"/>
    </row>
    <row r="178">
      <c r="A178" s="15"/>
      <c r="B178" s="15"/>
      <c r="C178" s="15"/>
    </row>
    <row r="179">
      <c r="A179" s="15"/>
      <c r="B179" s="15"/>
      <c r="C179" s="15"/>
    </row>
    <row r="180">
      <c r="A180" s="15"/>
      <c r="B180" s="15"/>
      <c r="C180" s="15"/>
    </row>
    <row r="181">
      <c r="A181" s="15"/>
      <c r="B181" s="15"/>
      <c r="C181" s="15"/>
    </row>
    <row r="182">
      <c r="A182" s="15"/>
      <c r="B182" s="15"/>
      <c r="C182" s="15"/>
    </row>
    <row r="183">
      <c r="A183" s="15"/>
      <c r="B183" s="15"/>
      <c r="C183" s="15"/>
    </row>
    <row r="184">
      <c r="A184" s="15"/>
      <c r="B184" s="15"/>
      <c r="C184" s="15"/>
    </row>
    <row r="185">
      <c r="A185" s="15"/>
      <c r="B185" s="15"/>
      <c r="C185" s="15"/>
    </row>
    <row r="186">
      <c r="A186" s="15"/>
      <c r="B186" s="15"/>
      <c r="C186" s="15"/>
    </row>
    <row r="187">
      <c r="A187" s="15"/>
      <c r="B187" s="15"/>
      <c r="C187" s="15"/>
    </row>
    <row r="188">
      <c r="A188" s="15"/>
      <c r="B188" s="15"/>
      <c r="C188" s="15"/>
    </row>
    <row r="189">
      <c r="A189" s="15"/>
      <c r="B189" s="15"/>
      <c r="C189" s="15"/>
    </row>
    <row r="190">
      <c r="A190" s="15"/>
      <c r="B190" s="15"/>
      <c r="C190" s="15"/>
    </row>
    <row r="191">
      <c r="A191" s="15"/>
      <c r="B191" s="15"/>
      <c r="C191" s="15"/>
    </row>
    <row r="192">
      <c r="A192" s="15"/>
      <c r="B192" s="15"/>
      <c r="C192" s="15"/>
    </row>
    <row r="193">
      <c r="A193" s="15"/>
      <c r="B193" s="15"/>
      <c r="C193" s="15"/>
    </row>
    <row r="194">
      <c r="A194" s="15"/>
      <c r="B194" s="15"/>
      <c r="C194" s="15"/>
    </row>
    <row r="195">
      <c r="A195" s="15"/>
      <c r="B195" s="15"/>
      <c r="C195" s="15"/>
    </row>
    <row r="196">
      <c r="A196" s="15"/>
      <c r="B196" s="15"/>
      <c r="C196" s="15"/>
    </row>
    <row r="197">
      <c r="A197" s="15"/>
      <c r="B197" s="15"/>
      <c r="C197" s="15"/>
    </row>
    <row r="198">
      <c r="A198" s="15"/>
      <c r="B198" s="15"/>
      <c r="C198" s="15"/>
    </row>
    <row r="199">
      <c r="A199" s="15"/>
      <c r="B199" s="15"/>
      <c r="C199" s="15"/>
    </row>
    <row r="200">
      <c r="A200" s="15"/>
      <c r="B200" s="15"/>
      <c r="C200" s="15"/>
    </row>
    <row r="201">
      <c r="A201" s="15"/>
      <c r="B201" s="15"/>
      <c r="C201" s="15"/>
    </row>
    <row r="202">
      <c r="A202" s="15"/>
      <c r="B202" s="15"/>
      <c r="C202" s="15"/>
    </row>
    <row r="203">
      <c r="A203" s="15"/>
      <c r="B203" s="15"/>
      <c r="C203" s="15"/>
    </row>
    <row r="204">
      <c r="A204" s="15"/>
      <c r="B204" s="15"/>
      <c r="C204" s="15"/>
    </row>
    <row r="205">
      <c r="A205" s="15"/>
      <c r="B205" s="15"/>
      <c r="C205" s="15"/>
    </row>
    <row r="206">
      <c r="A206" s="15"/>
      <c r="B206" s="15"/>
      <c r="C206" s="15"/>
    </row>
    <row r="207">
      <c r="A207" s="15"/>
      <c r="B207" s="15"/>
      <c r="C207" s="15"/>
    </row>
    <row r="208">
      <c r="A208" s="15"/>
      <c r="B208" s="15"/>
      <c r="C208" s="15"/>
    </row>
    <row r="209">
      <c r="A209" s="15"/>
      <c r="B209" s="15"/>
      <c r="C209" s="15"/>
    </row>
    <row r="210">
      <c r="A210" s="15"/>
      <c r="B210" s="15"/>
      <c r="C210" s="15"/>
    </row>
    <row r="211">
      <c r="A211" s="15"/>
      <c r="B211" s="15"/>
      <c r="C211" s="15"/>
    </row>
    <row r="212">
      <c r="A212" s="15"/>
      <c r="B212" s="15"/>
      <c r="C212" s="15"/>
    </row>
    <row r="213">
      <c r="A213" s="15"/>
      <c r="B213" s="15"/>
      <c r="C213" s="15"/>
    </row>
    <row r="214">
      <c r="A214" s="15"/>
      <c r="B214" s="15"/>
      <c r="C214" s="15"/>
    </row>
    <row r="215">
      <c r="A215" s="15"/>
      <c r="B215" s="15"/>
      <c r="C215" s="15"/>
    </row>
    <row r="216">
      <c r="A216" s="15"/>
      <c r="B216" s="15"/>
      <c r="C216" s="15"/>
    </row>
    <row r="217">
      <c r="A217" s="15"/>
      <c r="B217" s="15"/>
      <c r="C217" s="15"/>
    </row>
    <row r="218">
      <c r="A218" s="15"/>
      <c r="B218" s="15"/>
      <c r="C218" s="15"/>
    </row>
    <row r="219">
      <c r="A219" s="15"/>
      <c r="B219" s="15"/>
      <c r="C219" s="15"/>
    </row>
    <row r="220">
      <c r="A220" s="15"/>
      <c r="B220" s="15"/>
      <c r="C220" s="15"/>
    </row>
    <row r="221">
      <c r="A221" s="15"/>
      <c r="B221" s="15"/>
      <c r="C221" s="15"/>
    </row>
    <row r="222">
      <c r="A222" s="15"/>
      <c r="B222" s="15"/>
      <c r="C222" s="15"/>
    </row>
    <row r="223">
      <c r="A223" s="15"/>
      <c r="B223" s="15"/>
      <c r="C223" s="15"/>
    </row>
    <row r="224">
      <c r="A224" s="15"/>
      <c r="B224" s="15"/>
      <c r="C224" s="15"/>
    </row>
    <row r="225">
      <c r="A225" s="15"/>
      <c r="B225" s="15"/>
      <c r="C225" s="15"/>
    </row>
    <row r="226">
      <c r="A226" s="15"/>
      <c r="B226" s="15"/>
      <c r="C226" s="15"/>
    </row>
    <row r="227">
      <c r="A227" s="15"/>
      <c r="B227" s="15"/>
      <c r="C227" s="15"/>
    </row>
    <row r="228">
      <c r="A228" s="15"/>
      <c r="B228" s="15"/>
      <c r="C228" s="15"/>
    </row>
    <row r="229">
      <c r="A229" s="15"/>
      <c r="B229" s="15"/>
      <c r="C229" s="15"/>
    </row>
    <row r="230">
      <c r="A230" s="15"/>
      <c r="B230" s="15"/>
      <c r="C230" s="15"/>
    </row>
    <row r="231">
      <c r="A231" s="15"/>
      <c r="B231" s="15"/>
      <c r="C231" s="15"/>
    </row>
    <row r="232">
      <c r="A232" s="15"/>
      <c r="B232" s="15"/>
      <c r="C232" s="15"/>
    </row>
    <row r="233">
      <c r="A233" s="15"/>
      <c r="B233" s="15"/>
      <c r="C233" s="15"/>
    </row>
    <row r="234">
      <c r="A234" s="15"/>
      <c r="B234" s="15"/>
      <c r="C234" s="15"/>
    </row>
    <row r="235">
      <c r="A235" s="15"/>
      <c r="B235" s="15"/>
      <c r="C235" s="15"/>
    </row>
    <row r="236">
      <c r="A236" s="15"/>
      <c r="B236" s="15"/>
      <c r="C236" s="15"/>
    </row>
    <row r="237">
      <c r="A237" s="15"/>
      <c r="B237" s="15"/>
      <c r="C237" s="15"/>
    </row>
    <row r="238">
      <c r="A238" s="15"/>
      <c r="B238" s="15"/>
      <c r="C238" s="15"/>
    </row>
    <row r="239">
      <c r="A239" s="15"/>
      <c r="B239" s="15"/>
      <c r="C239" s="15"/>
    </row>
    <row r="240">
      <c r="A240" s="15"/>
      <c r="B240" s="15"/>
      <c r="C240" s="15"/>
    </row>
    <row r="241">
      <c r="A241" s="15"/>
      <c r="B241" s="15"/>
      <c r="C241" s="15"/>
    </row>
    <row r="242">
      <c r="A242" s="15"/>
      <c r="B242" s="15"/>
      <c r="C242" s="15"/>
    </row>
    <row r="243">
      <c r="A243" s="15"/>
      <c r="B243" s="15"/>
      <c r="C243" s="15"/>
    </row>
    <row r="244">
      <c r="A244" s="15"/>
      <c r="B244" s="15"/>
      <c r="C244" s="15"/>
    </row>
    <row r="245">
      <c r="A245" s="15"/>
      <c r="B245" s="15"/>
      <c r="C245" s="15"/>
    </row>
    <row r="246">
      <c r="A246" s="15"/>
      <c r="B246" s="15"/>
      <c r="C246" s="15"/>
    </row>
    <row r="247">
      <c r="A247" s="15"/>
      <c r="B247" s="15"/>
      <c r="C247" s="15"/>
    </row>
    <row r="248">
      <c r="A248" s="15"/>
      <c r="B248" s="15"/>
      <c r="C248" s="15"/>
    </row>
    <row r="249">
      <c r="A249" s="15"/>
      <c r="B249" s="15"/>
      <c r="C249" s="15"/>
    </row>
    <row r="250">
      <c r="A250" s="15"/>
      <c r="B250" s="15"/>
      <c r="C250" s="15"/>
    </row>
    <row r="251">
      <c r="A251" s="15"/>
      <c r="B251" s="15"/>
      <c r="C251" s="15"/>
    </row>
    <row r="252">
      <c r="A252" s="15"/>
      <c r="B252" s="15"/>
      <c r="C252" s="15"/>
    </row>
    <row r="253">
      <c r="A253" s="15"/>
      <c r="B253" s="15"/>
      <c r="C253" s="15"/>
    </row>
    <row r="254">
      <c r="A254" s="15"/>
      <c r="B254" s="15"/>
      <c r="C254" s="15"/>
    </row>
    <row r="255">
      <c r="A255" s="15"/>
      <c r="B255" s="15"/>
      <c r="C255" s="15"/>
    </row>
    <row r="256">
      <c r="A256" s="15"/>
      <c r="B256" s="15"/>
      <c r="C256" s="15"/>
    </row>
    <row r="257">
      <c r="A257" s="15"/>
      <c r="B257" s="15"/>
      <c r="C257" s="15"/>
    </row>
    <row r="258">
      <c r="A258" s="15"/>
      <c r="B258" s="15"/>
      <c r="C258" s="15"/>
    </row>
    <row r="259">
      <c r="A259" s="15"/>
      <c r="B259" s="15"/>
      <c r="C259" s="15"/>
    </row>
    <row r="260">
      <c r="A260" s="15"/>
      <c r="B260" s="15"/>
      <c r="C260" s="15"/>
    </row>
    <row r="261">
      <c r="A261" s="15"/>
      <c r="B261" s="15"/>
      <c r="C261" s="15"/>
    </row>
    <row r="262">
      <c r="A262" s="15"/>
      <c r="B262" s="15"/>
      <c r="C262" s="15"/>
    </row>
    <row r="263">
      <c r="A263" s="15"/>
      <c r="B263" s="15"/>
      <c r="C263" s="15"/>
    </row>
    <row r="264">
      <c r="A264" s="15"/>
      <c r="B264" s="15"/>
      <c r="C264" s="15"/>
    </row>
    <row r="265">
      <c r="A265" s="15"/>
      <c r="B265" s="15"/>
      <c r="C265" s="15"/>
    </row>
    <row r="266">
      <c r="A266" s="15"/>
      <c r="B266" s="15"/>
      <c r="C266" s="15"/>
    </row>
    <row r="267">
      <c r="A267" s="15"/>
      <c r="B267" s="15"/>
      <c r="C267" s="15"/>
    </row>
    <row r="268">
      <c r="A268" s="15"/>
      <c r="B268" s="15"/>
      <c r="C268" s="15"/>
    </row>
    <row r="269">
      <c r="A269" s="15"/>
      <c r="B269" s="15"/>
      <c r="C269" s="15"/>
    </row>
    <row r="270">
      <c r="A270" s="15"/>
      <c r="B270" s="15"/>
      <c r="C270" s="15"/>
    </row>
    <row r="271">
      <c r="A271" s="15"/>
      <c r="B271" s="15"/>
      <c r="C271" s="15"/>
    </row>
    <row r="272">
      <c r="A272" s="15"/>
      <c r="B272" s="15"/>
      <c r="C272" s="15"/>
    </row>
    <row r="273">
      <c r="A273" s="15"/>
      <c r="B273" s="15"/>
      <c r="C273" s="15"/>
    </row>
    <row r="274">
      <c r="A274" s="15"/>
      <c r="B274" s="15"/>
      <c r="C274" s="15"/>
    </row>
    <row r="275">
      <c r="A275" s="15"/>
      <c r="B275" s="15"/>
      <c r="C275" s="15"/>
    </row>
    <row r="276">
      <c r="A276" s="15"/>
      <c r="B276" s="15"/>
      <c r="C276" s="15"/>
    </row>
    <row r="277">
      <c r="A277" s="15"/>
      <c r="B277" s="15"/>
      <c r="C277" s="15"/>
    </row>
    <row r="278">
      <c r="A278" s="15"/>
      <c r="B278" s="15"/>
      <c r="C278" s="15"/>
    </row>
    <row r="279">
      <c r="A279" s="15"/>
      <c r="B279" s="15"/>
      <c r="C279" s="15"/>
    </row>
    <row r="280">
      <c r="A280" s="15"/>
      <c r="B280" s="15"/>
      <c r="C280" s="15"/>
    </row>
    <row r="281">
      <c r="A281" s="15"/>
      <c r="B281" s="15"/>
      <c r="C281" s="15"/>
    </row>
    <row r="282">
      <c r="A282" s="15"/>
      <c r="B282" s="15"/>
      <c r="C282" s="15"/>
    </row>
    <row r="283">
      <c r="A283" s="15"/>
      <c r="B283" s="15"/>
      <c r="C283" s="15"/>
    </row>
    <row r="284">
      <c r="A284" s="15"/>
      <c r="B284" s="15"/>
      <c r="C284" s="15"/>
    </row>
    <row r="285">
      <c r="A285" s="15"/>
      <c r="B285" s="15"/>
      <c r="C285" s="15"/>
    </row>
    <row r="286">
      <c r="A286" s="15"/>
      <c r="B286" s="15"/>
      <c r="C286" s="15"/>
    </row>
    <row r="287">
      <c r="A287" s="15"/>
      <c r="B287" s="15"/>
      <c r="C287" s="15"/>
    </row>
    <row r="288">
      <c r="A288" s="15"/>
      <c r="B288" s="15"/>
      <c r="C288" s="15"/>
    </row>
    <row r="289">
      <c r="A289" s="15"/>
      <c r="B289" s="15"/>
      <c r="C289" s="15"/>
    </row>
    <row r="290">
      <c r="A290" s="15"/>
      <c r="B290" s="15"/>
      <c r="C290" s="15"/>
    </row>
    <row r="291">
      <c r="A291" s="15"/>
      <c r="B291" s="15"/>
      <c r="C291" s="15"/>
    </row>
    <row r="292">
      <c r="A292" s="15"/>
      <c r="B292" s="15"/>
      <c r="C292" s="15"/>
    </row>
    <row r="293">
      <c r="A293" s="15"/>
      <c r="B293" s="15"/>
      <c r="C293" s="15"/>
    </row>
    <row r="294">
      <c r="A294" s="15"/>
      <c r="B294" s="15"/>
      <c r="C294" s="15"/>
    </row>
    <row r="295">
      <c r="A295" s="15"/>
      <c r="B295" s="15"/>
      <c r="C295" s="15"/>
    </row>
    <row r="296">
      <c r="A296" s="15"/>
      <c r="B296" s="15"/>
      <c r="C296" s="15"/>
    </row>
    <row r="297">
      <c r="A297" s="15"/>
      <c r="B297" s="15"/>
      <c r="C297" s="15"/>
    </row>
    <row r="298">
      <c r="A298" s="15"/>
      <c r="B298" s="15"/>
      <c r="C298" s="15"/>
    </row>
    <row r="299">
      <c r="A299" s="15"/>
      <c r="B299" s="15"/>
      <c r="C299" s="15"/>
    </row>
    <row r="300">
      <c r="A300" s="15"/>
      <c r="B300" s="15"/>
      <c r="C300" s="15"/>
    </row>
    <row r="301">
      <c r="A301" s="15"/>
      <c r="B301" s="15"/>
      <c r="C301" s="15"/>
    </row>
    <row r="302">
      <c r="A302" s="15"/>
      <c r="B302" s="15"/>
      <c r="C302" s="15"/>
    </row>
    <row r="303">
      <c r="A303" s="15"/>
      <c r="B303" s="15"/>
      <c r="C303" s="15"/>
    </row>
    <row r="304">
      <c r="A304" s="15"/>
      <c r="B304" s="15"/>
      <c r="C304" s="15"/>
    </row>
    <row r="305">
      <c r="A305" s="15"/>
      <c r="B305" s="15"/>
      <c r="C305" s="15"/>
    </row>
    <row r="306">
      <c r="A306" s="15"/>
      <c r="B306" s="15"/>
      <c r="C306" s="15"/>
    </row>
    <row r="307">
      <c r="A307" s="15"/>
      <c r="B307" s="15"/>
      <c r="C307" s="15"/>
    </row>
    <row r="308">
      <c r="A308" s="15"/>
      <c r="B308" s="15"/>
      <c r="C308" s="15"/>
    </row>
    <row r="309">
      <c r="A309" s="15"/>
      <c r="B309" s="15"/>
      <c r="C309" s="15"/>
    </row>
    <row r="310">
      <c r="A310" s="15"/>
      <c r="B310" s="15"/>
      <c r="C310" s="15"/>
    </row>
    <row r="311">
      <c r="A311" s="15"/>
      <c r="B311" s="15"/>
      <c r="C311" s="15"/>
    </row>
    <row r="312">
      <c r="A312" s="15"/>
      <c r="B312" s="15"/>
      <c r="C312" s="15"/>
    </row>
    <row r="313">
      <c r="A313" s="15"/>
      <c r="B313" s="15"/>
      <c r="C313" s="15"/>
    </row>
    <row r="314">
      <c r="A314" s="15"/>
      <c r="B314" s="15"/>
      <c r="C314" s="15"/>
    </row>
    <row r="315">
      <c r="A315" s="15"/>
      <c r="B315" s="15"/>
      <c r="C315" s="15"/>
    </row>
    <row r="316">
      <c r="A316" s="15"/>
      <c r="B316" s="15"/>
      <c r="C316" s="15"/>
    </row>
    <row r="317">
      <c r="A317" s="15"/>
      <c r="B317" s="15"/>
      <c r="C317" s="15"/>
    </row>
    <row r="318">
      <c r="A318" s="15"/>
      <c r="B318" s="15"/>
      <c r="C318" s="15"/>
    </row>
    <row r="319">
      <c r="A319" s="15"/>
      <c r="B319" s="15"/>
      <c r="C319" s="15"/>
    </row>
    <row r="320">
      <c r="A320" s="15"/>
      <c r="B320" s="15"/>
      <c r="C320" s="15"/>
    </row>
    <row r="321">
      <c r="A321" s="15"/>
      <c r="B321" s="15"/>
      <c r="C321" s="15"/>
    </row>
    <row r="322">
      <c r="A322" s="15"/>
      <c r="B322" s="15"/>
      <c r="C322" s="15"/>
    </row>
    <row r="323">
      <c r="A323" s="15"/>
      <c r="B323" s="15"/>
      <c r="C323" s="15"/>
    </row>
    <row r="324">
      <c r="A324" s="15"/>
      <c r="B324" s="15"/>
      <c r="C324" s="15"/>
    </row>
    <row r="325">
      <c r="A325" s="15"/>
      <c r="B325" s="15"/>
      <c r="C325" s="15"/>
    </row>
    <row r="326">
      <c r="A326" s="15"/>
      <c r="B326" s="15"/>
      <c r="C326" s="15"/>
    </row>
    <row r="327">
      <c r="A327" s="15"/>
      <c r="B327" s="15"/>
      <c r="C327" s="15"/>
    </row>
    <row r="328">
      <c r="A328" s="15"/>
      <c r="B328" s="15"/>
      <c r="C328" s="15"/>
    </row>
    <row r="329">
      <c r="A329" s="15"/>
      <c r="B329" s="15"/>
      <c r="C329" s="15"/>
    </row>
    <row r="330">
      <c r="A330" s="15"/>
      <c r="B330" s="15"/>
      <c r="C330" s="15"/>
    </row>
    <row r="331">
      <c r="A331" s="15"/>
      <c r="B331" s="15"/>
      <c r="C331" s="15"/>
    </row>
    <row r="332">
      <c r="A332" s="15"/>
      <c r="B332" s="15"/>
      <c r="C332" s="15"/>
    </row>
    <row r="333">
      <c r="A333" s="15"/>
      <c r="B333" s="15"/>
      <c r="C333" s="15"/>
    </row>
    <row r="334">
      <c r="A334" s="15"/>
      <c r="B334" s="15"/>
      <c r="C334" s="15"/>
    </row>
    <row r="335">
      <c r="A335" s="15"/>
      <c r="B335" s="15"/>
      <c r="C335" s="15"/>
    </row>
    <row r="336">
      <c r="A336" s="15"/>
      <c r="B336" s="15"/>
      <c r="C336" s="15"/>
    </row>
    <row r="337">
      <c r="A337" s="15"/>
      <c r="B337" s="15"/>
      <c r="C337" s="15"/>
    </row>
    <row r="338">
      <c r="A338" s="15"/>
      <c r="B338" s="15"/>
      <c r="C338" s="15"/>
    </row>
    <row r="339">
      <c r="A339" s="15"/>
      <c r="B339" s="15"/>
      <c r="C339" s="15"/>
    </row>
    <row r="340">
      <c r="A340" s="15"/>
      <c r="B340" s="15"/>
      <c r="C340" s="15"/>
    </row>
    <row r="341">
      <c r="A341" s="15"/>
      <c r="B341" s="15"/>
      <c r="C341" s="15"/>
    </row>
    <row r="342">
      <c r="A342" s="15"/>
      <c r="B342" s="15"/>
      <c r="C342" s="15"/>
    </row>
    <row r="343">
      <c r="A343" s="15"/>
      <c r="B343" s="15"/>
      <c r="C343" s="15"/>
    </row>
    <row r="344">
      <c r="A344" s="15"/>
      <c r="B344" s="15"/>
      <c r="C344" s="15"/>
    </row>
    <row r="345">
      <c r="A345" s="15"/>
      <c r="B345" s="15"/>
      <c r="C345" s="15"/>
    </row>
    <row r="346">
      <c r="A346" s="15"/>
      <c r="B346" s="15"/>
      <c r="C346" s="15"/>
    </row>
    <row r="347">
      <c r="A347" s="15"/>
      <c r="B347" s="15"/>
      <c r="C347" s="15"/>
    </row>
    <row r="348">
      <c r="A348" s="15"/>
      <c r="B348" s="15"/>
      <c r="C348" s="15"/>
    </row>
    <row r="349">
      <c r="A349" s="15"/>
      <c r="B349" s="15"/>
      <c r="C349" s="15"/>
    </row>
    <row r="350">
      <c r="A350" s="15"/>
      <c r="B350" s="15"/>
      <c r="C350" s="15"/>
    </row>
    <row r="351">
      <c r="A351" s="15"/>
      <c r="B351" s="15"/>
      <c r="C351" s="15"/>
    </row>
    <row r="352">
      <c r="A352" s="15"/>
      <c r="B352" s="15"/>
      <c r="C352" s="15"/>
    </row>
    <row r="353">
      <c r="A353" s="15"/>
      <c r="B353" s="15"/>
      <c r="C353" s="15"/>
    </row>
    <row r="354">
      <c r="A354" s="15"/>
      <c r="B354" s="15"/>
      <c r="C354" s="15"/>
    </row>
    <row r="355">
      <c r="A355" s="15"/>
      <c r="B355" s="15"/>
      <c r="C355" s="15"/>
    </row>
    <row r="356">
      <c r="A356" s="15"/>
      <c r="B356" s="15"/>
      <c r="C356" s="15"/>
    </row>
    <row r="357">
      <c r="A357" s="15"/>
      <c r="B357" s="15"/>
      <c r="C357" s="15"/>
    </row>
    <row r="358">
      <c r="A358" s="15"/>
      <c r="B358" s="15"/>
      <c r="C358" s="15"/>
    </row>
    <row r="359">
      <c r="A359" s="15"/>
      <c r="B359" s="15"/>
      <c r="C359" s="15"/>
    </row>
    <row r="360">
      <c r="A360" s="15"/>
      <c r="B360" s="15"/>
      <c r="C360" s="15"/>
    </row>
    <row r="361">
      <c r="A361" s="15"/>
      <c r="B361" s="15"/>
      <c r="C361" s="15"/>
    </row>
    <row r="362">
      <c r="A362" s="15"/>
      <c r="B362" s="15"/>
      <c r="C362" s="15"/>
    </row>
    <row r="363">
      <c r="A363" s="15"/>
      <c r="B363" s="15"/>
      <c r="C363" s="15"/>
    </row>
    <row r="364">
      <c r="A364" s="15"/>
      <c r="B364" s="15"/>
      <c r="C364" s="15"/>
    </row>
    <row r="365">
      <c r="A365" s="15"/>
      <c r="B365" s="15"/>
      <c r="C365" s="15"/>
    </row>
    <row r="366">
      <c r="A366" s="15"/>
      <c r="B366" s="15"/>
      <c r="C366" s="15"/>
    </row>
    <row r="367">
      <c r="A367" s="15"/>
      <c r="B367" s="15"/>
      <c r="C367" s="15"/>
    </row>
    <row r="368">
      <c r="A368" s="15"/>
      <c r="B368" s="15"/>
      <c r="C368" s="15"/>
    </row>
    <row r="369">
      <c r="A369" s="15"/>
      <c r="B369" s="15"/>
      <c r="C369" s="15"/>
    </row>
    <row r="370">
      <c r="A370" s="15"/>
      <c r="B370" s="15"/>
      <c r="C370" s="15"/>
    </row>
    <row r="371">
      <c r="A371" s="15"/>
      <c r="B371" s="15"/>
      <c r="C371" s="15"/>
    </row>
    <row r="372">
      <c r="A372" s="15"/>
      <c r="B372" s="15"/>
      <c r="C372" s="15"/>
    </row>
    <row r="373">
      <c r="A373" s="15"/>
      <c r="B373" s="15"/>
      <c r="C373" s="15"/>
    </row>
    <row r="374">
      <c r="A374" s="15"/>
      <c r="B374" s="15"/>
      <c r="C374" s="15"/>
    </row>
    <row r="375">
      <c r="A375" s="15"/>
      <c r="B375" s="15"/>
      <c r="C375" s="15"/>
    </row>
    <row r="376">
      <c r="A376" s="15"/>
      <c r="B376" s="15"/>
      <c r="C376" s="15"/>
    </row>
    <row r="377">
      <c r="A377" s="15"/>
      <c r="B377" s="15"/>
      <c r="C377" s="15"/>
    </row>
    <row r="378">
      <c r="A378" s="15"/>
      <c r="B378" s="15"/>
      <c r="C378" s="15"/>
    </row>
    <row r="379">
      <c r="A379" s="15"/>
      <c r="B379" s="15"/>
      <c r="C379" s="15"/>
    </row>
    <row r="380">
      <c r="A380" s="15"/>
      <c r="B380" s="15"/>
      <c r="C380" s="15"/>
    </row>
    <row r="381">
      <c r="A381" s="15"/>
      <c r="B381" s="15"/>
      <c r="C381" s="15"/>
    </row>
    <row r="382">
      <c r="A382" s="15"/>
      <c r="B382" s="15"/>
      <c r="C382" s="15"/>
    </row>
    <row r="383">
      <c r="A383" s="15"/>
      <c r="B383" s="15"/>
      <c r="C383" s="15"/>
    </row>
    <row r="384">
      <c r="A384" s="15"/>
      <c r="B384" s="15"/>
      <c r="C384" s="15"/>
    </row>
    <row r="385">
      <c r="A385" s="15"/>
      <c r="B385" s="15"/>
      <c r="C385" s="15"/>
    </row>
    <row r="386">
      <c r="A386" s="15"/>
      <c r="B386" s="15"/>
      <c r="C386" s="15"/>
    </row>
    <row r="387">
      <c r="A387" s="15"/>
      <c r="B387" s="15"/>
      <c r="C387" s="15"/>
    </row>
    <row r="388">
      <c r="A388" s="15"/>
      <c r="B388" s="15"/>
      <c r="C388" s="15"/>
    </row>
    <row r="389">
      <c r="A389" s="15"/>
      <c r="B389" s="15"/>
      <c r="C389" s="15"/>
    </row>
    <row r="390">
      <c r="A390" s="15"/>
      <c r="B390" s="15"/>
      <c r="C390" s="15"/>
    </row>
    <row r="391">
      <c r="A391" s="15"/>
      <c r="B391" s="15"/>
      <c r="C391" s="15"/>
    </row>
    <row r="392">
      <c r="A392" s="15"/>
      <c r="B392" s="15"/>
      <c r="C392" s="15"/>
    </row>
    <row r="393">
      <c r="A393" s="15"/>
      <c r="B393" s="15"/>
      <c r="C393" s="15"/>
    </row>
    <row r="394">
      <c r="A394" s="15"/>
      <c r="B394" s="15"/>
      <c r="C394" s="15"/>
    </row>
    <row r="395">
      <c r="A395" s="15"/>
      <c r="B395" s="15"/>
      <c r="C395" s="15"/>
    </row>
    <row r="396">
      <c r="A396" s="15"/>
      <c r="B396" s="15"/>
      <c r="C396" s="15"/>
    </row>
    <row r="397">
      <c r="A397" s="15"/>
      <c r="B397" s="15"/>
      <c r="C397" s="15"/>
    </row>
    <row r="398">
      <c r="A398" s="15"/>
      <c r="B398" s="15"/>
      <c r="C398" s="15"/>
    </row>
    <row r="399">
      <c r="A399" s="15"/>
      <c r="B399" s="15"/>
      <c r="C399" s="15"/>
    </row>
    <row r="400">
      <c r="A400" s="15"/>
      <c r="B400" s="15"/>
      <c r="C400" s="15"/>
    </row>
    <row r="401">
      <c r="A401" s="15"/>
      <c r="B401" s="15"/>
      <c r="C401" s="15"/>
    </row>
    <row r="402">
      <c r="A402" s="15"/>
      <c r="B402" s="15"/>
      <c r="C402" s="15"/>
    </row>
    <row r="403">
      <c r="A403" s="15"/>
      <c r="B403" s="15"/>
      <c r="C403" s="15"/>
    </row>
    <row r="404">
      <c r="A404" s="15"/>
      <c r="B404" s="15"/>
      <c r="C404" s="15"/>
    </row>
    <row r="405">
      <c r="A405" s="15"/>
      <c r="B405" s="15"/>
      <c r="C405" s="15"/>
    </row>
    <row r="406">
      <c r="A406" s="15"/>
      <c r="B406" s="15"/>
      <c r="C406" s="15"/>
    </row>
    <row r="407">
      <c r="A407" s="15"/>
      <c r="B407" s="15"/>
      <c r="C407" s="15"/>
    </row>
    <row r="408">
      <c r="A408" s="15"/>
      <c r="B408" s="15"/>
      <c r="C408" s="15"/>
    </row>
    <row r="409">
      <c r="A409" s="15"/>
      <c r="B409" s="15"/>
      <c r="C409" s="15"/>
    </row>
    <row r="410">
      <c r="A410" s="15"/>
      <c r="B410" s="15"/>
      <c r="C410" s="15"/>
    </row>
    <row r="411">
      <c r="A411" s="15"/>
      <c r="B411" s="15"/>
      <c r="C411" s="15"/>
    </row>
    <row r="412">
      <c r="A412" s="15"/>
      <c r="B412" s="15"/>
      <c r="C412" s="15"/>
    </row>
    <row r="413">
      <c r="A413" s="15"/>
      <c r="B413" s="15"/>
      <c r="C413" s="15"/>
    </row>
    <row r="414">
      <c r="A414" s="15"/>
      <c r="B414" s="15"/>
      <c r="C414" s="15"/>
    </row>
    <row r="415">
      <c r="A415" s="15"/>
      <c r="B415" s="15"/>
      <c r="C415" s="15"/>
    </row>
    <row r="416">
      <c r="A416" s="15"/>
      <c r="B416" s="15"/>
      <c r="C416" s="15"/>
    </row>
    <row r="417">
      <c r="A417" s="15"/>
      <c r="B417" s="15"/>
      <c r="C417" s="15"/>
    </row>
    <row r="418">
      <c r="A418" s="15"/>
      <c r="B418" s="15"/>
      <c r="C418" s="15"/>
    </row>
    <row r="419">
      <c r="A419" s="15"/>
      <c r="B419" s="15"/>
      <c r="C419" s="15"/>
    </row>
    <row r="420">
      <c r="A420" s="15"/>
      <c r="B420" s="15"/>
      <c r="C420" s="15"/>
    </row>
    <row r="421">
      <c r="A421" s="15"/>
      <c r="B421" s="15"/>
      <c r="C421" s="15"/>
    </row>
    <row r="422">
      <c r="A422" s="15"/>
      <c r="B422" s="15"/>
      <c r="C422" s="15"/>
    </row>
    <row r="423">
      <c r="A423" s="15"/>
      <c r="B423" s="15"/>
      <c r="C423" s="15"/>
    </row>
    <row r="424">
      <c r="A424" s="15"/>
      <c r="B424" s="15"/>
      <c r="C424" s="15"/>
    </row>
    <row r="425">
      <c r="A425" s="15"/>
      <c r="B425" s="15"/>
      <c r="C425" s="15"/>
    </row>
    <row r="426">
      <c r="A426" s="15"/>
      <c r="B426" s="15"/>
      <c r="C426" s="15"/>
    </row>
    <row r="427">
      <c r="A427" s="15"/>
      <c r="B427" s="15"/>
      <c r="C427" s="15"/>
    </row>
    <row r="428">
      <c r="A428" s="15"/>
      <c r="B428" s="15"/>
      <c r="C428" s="15"/>
    </row>
    <row r="429">
      <c r="A429" s="15"/>
      <c r="B429" s="15"/>
      <c r="C429" s="15"/>
    </row>
    <row r="430">
      <c r="A430" s="15"/>
      <c r="B430" s="15"/>
      <c r="C430" s="15"/>
    </row>
    <row r="431">
      <c r="A431" s="15"/>
      <c r="B431" s="15"/>
      <c r="C431" s="15"/>
    </row>
    <row r="432">
      <c r="A432" s="15"/>
      <c r="B432" s="15"/>
      <c r="C432" s="15"/>
    </row>
    <row r="433">
      <c r="A433" s="15"/>
      <c r="B433" s="15"/>
      <c r="C433" s="15"/>
    </row>
    <row r="434">
      <c r="A434" s="15"/>
      <c r="B434" s="15"/>
      <c r="C434" s="15"/>
    </row>
    <row r="435">
      <c r="A435" s="15"/>
      <c r="B435" s="15"/>
      <c r="C435" s="15"/>
    </row>
    <row r="436">
      <c r="A436" s="15"/>
      <c r="B436" s="15"/>
      <c r="C436" s="15"/>
    </row>
    <row r="437">
      <c r="A437" s="15"/>
      <c r="B437" s="15"/>
      <c r="C437" s="15"/>
    </row>
    <row r="438">
      <c r="A438" s="15"/>
      <c r="B438" s="15"/>
      <c r="C438" s="15"/>
    </row>
    <row r="439">
      <c r="A439" s="15"/>
      <c r="B439" s="15"/>
      <c r="C439" s="15"/>
    </row>
    <row r="440">
      <c r="A440" s="15"/>
      <c r="B440" s="15"/>
      <c r="C440" s="15"/>
    </row>
    <row r="441">
      <c r="A441" s="15"/>
      <c r="B441" s="15"/>
      <c r="C441" s="15"/>
    </row>
    <row r="442">
      <c r="A442" s="15"/>
      <c r="B442" s="15"/>
      <c r="C442" s="15"/>
    </row>
    <row r="443">
      <c r="A443" s="15"/>
      <c r="B443" s="15"/>
      <c r="C443" s="15"/>
    </row>
    <row r="444">
      <c r="A444" s="15"/>
      <c r="B444" s="15"/>
      <c r="C444" s="15"/>
    </row>
    <row r="445">
      <c r="A445" s="15"/>
      <c r="B445" s="15"/>
      <c r="C445" s="15"/>
    </row>
    <row r="446">
      <c r="A446" s="15"/>
      <c r="B446" s="15"/>
      <c r="C446" s="15"/>
    </row>
    <row r="447">
      <c r="A447" s="15"/>
      <c r="B447" s="15"/>
      <c r="C447" s="15"/>
    </row>
    <row r="448">
      <c r="A448" s="15"/>
      <c r="B448" s="15"/>
      <c r="C448" s="15"/>
    </row>
    <row r="449">
      <c r="A449" s="15"/>
      <c r="B449" s="15"/>
      <c r="C449" s="15"/>
    </row>
    <row r="450">
      <c r="A450" s="15"/>
      <c r="B450" s="15"/>
      <c r="C450" s="15"/>
    </row>
    <row r="451">
      <c r="A451" s="15"/>
      <c r="B451" s="15"/>
      <c r="C451" s="15"/>
    </row>
    <row r="452">
      <c r="A452" s="15"/>
      <c r="B452" s="15"/>
      <c r="C452" s="15"/>
    </row>
    <row r="453">
      <c r="A453" s="15"/>
      <c r="B453" s="15"/>
      <c r="C453" s="15"/>
    </row>
    <row r="454">
      <c r="A454" s="15"/>
      <c r="B454" s="15"/>
      <c r="C454" s="15"/>
    </row>
    <row r="455">
      <c r="A455" s="15"/>
      <c r="B455" s="15"/>
      <c r="C455" s="15"/>
    </row>
    <row r="456">
      <c r="A456" s="15"/>
      <c r="B456" s="15"/>
      <c r="C456" s="15"/>
    </row>
    <row r="457">
      <c r="A457" s="15"/>
      <c r="B457" s="15"/>
      <c r="C457" s="15"/>
    </row>
    <row r="458">
      <c r="A458" s="15"/>
      <c r="B458" s="15"/>
      <c r="C458" s="15"/>
    </row>
    <row r="459">
      <c r="A459" s="15"/>
      <c r="B459" s="15"/>
      <c r="C459" s="15"/>
    </row>
    <row r="460">
      <c r="A460" s="15"/>
      <c r="B460" s="15"/>
      <c r="C460" s="15"/>
    </row>
    <row r="461">
      <c r="A461" s="15"/>
      <c r="B461" s="15"/>
      <c r="C461" s="15"/>
    </row>
    <row r="462">
      <c r="A462" s="15"/>
      <c r="B462" s="15"/>
      <c r="C462" s="15"/>
    </row>
    <row r="463">
      <c r="A463" s="15"/>
      <c r="B463" s="15"/>
      <c r="C463" s="15"/>
    </row>
    <row r="464">
      <c r="A464" s="15"/>
      <c r="B464" s="15"/>
      <c r="C464" s="15"/>
    </row>
    <row r="465">
      <c r="A465" s="15"/>
      <c r="B465" s="15"/>
      <c r="C465" s="15"/>
    </row>
    <row r="466">
      <c r="A466" s="15"/>
      <c r="B466" s="15"/>
      <c r="C466" s="15"/>
    </row>
    <row r="467">
      <c r="A467" s="15"/>
      <c r="B467" s="15"/>
      <c r="C467" s="15"/>
    </row>
    <row r="468">
      <c r="A468" s="15"/>
      <c r="B468" s="15"/>
      <c r="C468" s="15"/>
    </row>
    <row r="469">
      <c r="A469" s="15"/>
      <c r="B469" s="15"/>
      <c r="C469" s="15"/>
    </row>
    <row r="470">
      <c r="A470" s="15"/>
      <c r="B470" s="15"/>
      <c r="C470" s="15"/>
    </row>
    <row r="471">
      <c r="A471" s="15"/>
      <c r="B471" s="15"/>
      <c r="C471" s="15"/>
    </row>
    <row r="472">
      <c r="A472" s="15"/>
      <c r="B472" s="15"/>
      <c r="C472" s="15"/>
    </row>
    <row r="473">
      <c r="A473" s="15"/>
      <c r="B473" s="15"/>
      <c r="C473" s="15"/>
    </row>
    <row r="474">
      <c r="A474" s="15"/>
      <c r="B474" s="15"/>
      <c r="C474" s="15"/>
    </row>
    <row r="475">
      <c r="A475" s="15"/>
      <c r="B475" s="15"/>
      <c r="C475" s="15"/>
    </row>
    <row r="476">
      <c r="A476" s="15"/>
      <c r="B476" s="15"/>
      <c r="C476" s="15"/>
    </row>
    <row r="477">
      <c r="A477" s="15"/>
      <c r="B477" s="15"/>
      <c r="C477" s="15"/>
    </row>
    <row r="478">
      <c r="A478" s="15"/>
      <c r="B478" s="15"/>
      <c r="C478" s="15"/>
    </row>
    <row r="479">
      <c r="A479" s="15"/>
      <c r="B479" s="15"/>
      <c r="C479" s="15"/>
    </row>
    <row r="480">
      <c r="A480" s="15"/>
      <c r="B480" s="15"/>
      <c r="C480" s="15"/>
    </row>
    <row r="481">
      <c r="A481" s="15"/>
      <c r="B481" s="15"/>
      <c r="C481" s="15"/>
    </row>
    <row r="482">
      <c r="A482" s="15"/>
      <c r="B482" s="15"/>
      <c r="C482" s="15"/>
    </row>
    <row r="483">
      <c r="A483" s="15"/>
      <c r="B483" s="15"/>
      <c r="C483" s="15"/>
    </row>
    <row r="484">
      <c r="A484" s="15"/>
      <c r="B484" s="15"/>
      <c r="C484" s="15"/>
    </row>
    <row r="485">
      <c r="A485" s="15"/>
      <c r="B485" s="15"/>
      <c r="C485" s="15"/>
    </row>
    <row r="486">
      <c r="A486" s="15"/>
      <c r="B486" s="15"/>
      <c r="C486" s="15"/>
    </row>
    <row r="487">
      <c r="A487" s="15"/>
      <c r="B487" s="15"/>
      <c r="C487" s="15"/>
    </row>
    <row r="488">
      <c r="A488" s="15"/>
      <c r="B488" s="15"/>
      <c r="C488" s="15"/>
    </row>
    <row r="489">
      <c r="A489" s="15"/>
      <c r="B489" s="15"/>
      <c r="C489" s="15"/>
    </row>
    <row r="490">
      <c r="A490" s="15"/>
      <c r="B490" s="15"/>
      <c r="C490" s="15"/>
    </row>
    <row r="491">
      <c r="A491" s="15"/>
      <c r="B491" s="15"/>
      <c r="C491" s="15"/>
    </row>
    <row r="492">
      <c r="A492" s="15"/>
      <c r="B492" s="15"/>
      <c r="C492" s="15"/>
    </row>
    <row r="493">
      <c r="A493" s="15"/>
      <c r="B493" s="15"/>
      <c r="C493" s="15"/>
    </row>
    <row r="494">
      <c r="A494" s="15"/>
      <c r="B494" s="15"/>
      <c r="C494" s="15"/>
    </row>
    <row r="495">
      <c r="A495" s="15"/>
      <c r="B495" s="15"/>
      <c r="C495" s="15"/>
    </row>
    <row r="496">
      <c r="A496" s="15"/>
      <c r="B496" s="15"/>
      <c r="C496" s="15"/>
    </row>
    <row r="497">
      <c r="A497" s="15"/>
      <c r="B497" s="15"/>
      <c r="C497" s="15"/>
    </row>
    <row r="498">
      <c r="A498" s="15"/>
      <c r="B498" s="15"/>
      <c r="C498" s="15"/>
    </row>
    <row r="499">
      <c r="A499" s="15"/>
      <c r="B499" s="15"/>
      <c r="C499" s="15"/>
    </row>
    <row r="500">
      <c r="A500" s="15"/>
      <c r="B500" s="15"/>
      <c r="C500" s="15"/>
    </row>
    <row r="501">
      <c r="A501" s="15"/>
      <c r="B501" s="15"/>
      <c r="C501" s="15"/>
    </row>
    <row r="502">
      <c r="A502" s="15"/>
      <c r="B502" s="15"/>
      <c r="C502" s="15"/>
    </row>
    <row r="503">
      <c r="A503" s="15"/>
      <c r="B503" s="15"/>
      <c r="C503" s="15"/>
    </row>
    <row r="504">
      <c r="A504" s="15"/>
      <c r="B504" s="15"/>
      <c r="C504" s="15"/>
    </row>
    <row r="505">
      <c r="A505" s="15"/>
      <c r="B505" s="15"/>
      <c r="C505" s="15"/>
    </row>
    <row r="506">
      <c r="A506" s="15"/>
      <c r="B506" s="15"/>
      <c r="C506" s="15"/>
    </row>
    <row r="507">
      <c r="A507" s="15"/>
      <c r="B507" s="15"/>
      <c r="C507" s="15"/>
    </row>
    <row r="508">
      <c r="A508" s="15"/>
      <c r="B508" s="15"/>
      <c r="C508" s="15"/>
    </row>
    <row r="509">
      <c r="A509" s="15"/>
      <c r="B509" s="15"/>
      <c r="C509" s="15"/>
    </row>
    <row r="510">
      <c r="A510" s="15"/>
      <c r="B510" s="15"/>
      <c r="C510" s="15"/>
    </row>
    <row r="511">
      <c r="A511" s="15"/>
      <c r="B511" s="15"/>
      <c r="C511" s="15"/>
    </row>
    <row r="512">
      <c r="A512" s="15"/>
      <c r="B512" s="15"/>
      <c r="C512" s="15"/>
    </row>
    <row r="513">
      <c r="A513" s="15"/>
      <c r="B513" s="15"/>
      <c r="C513" s="15"/>
    </row>
    <row r="514">
      <c r="A514" s="15"/>
      <c r="B514" s="15"/>
      <c r="C514" s="15"/>
    </row>
    <row r="515">
      <c r="A515" s="15"/>
      <c r="B515" s="15"/>
      <c r="C515" s="15"/>
    </row>
    <row r="516">
      <c r="A516" s="15"/>
      <c r="B516" s="15"/>
      <c r="C516" s="15"/>
    </row>
    <row r="517">
      <c r="A517" s="15"/>
      <c r="B517" s="15"/>
      <c r="C517" s="15"/>
    </row>
    <row r="518">
      <c r="A518" s="15"/>
      <c r="B518" s="15"/>
      <c r="C518" s="15"/>
    </row>
    <row r="519">
      <c r="A519" s="15"/>
      <c r="B519" s="15"/>
      <c r="C519" s="15"/>
    </row>
    <row r="520">
      <c r="A520" s="15"/>
      <c r="B520" s="15"/>
      <c r="C520" s="15"/>
    </row>
    <row r="521">
      <c r="A521" s="15"/>
      <c r="B521" s="15"/>
      <c r="C521" s="15"/>
    </row>
    <row r="522">
      <c r="A522" s="15"/>
      <c r="B522" s="15"/>
      <c r="C522" s="15"/>
    </row>
    <row r="523">
      <c r="A523" s="15"/>
      <c r="B523" s="15"/>
      <c r="C523" s="15"/>
    </row>
    <row r="524">
      <c r="A524" s="15"/>
      <c r="B524" s="15"/>
      <c r="C524" s="15"/>
    </row>
    <row r="525">
      <c r="A525" s="15"/>
      <c r="B525" s="15"/>
      <c r="C525" s="15"/>
    </row>
    <row r="526">
      <c r="A526" s="15"/>
      <c r="B526" s="15"/>
      <c r="C526" s="15"/>
    </row>
    <row r="527">
      <c r="A527" s="15"/>
      <c r="B527" s="15"/>
      <c r="C527" s="15"/>
    </row>
    <row r="528">
      <c r="A528" s="15"/>
      <c r="B528" s="15"/>
      <c r="C528" s="15"/>
    </row>
    <row r="529">
      <c r="A529" s="15"/>
      <c r="B529" s="15"/>
      <c r="C529" s="15"/>
    </row>
    <row r="530">
      <c r="A530" s="15"/>
      <c r="B530" s="15"/>
      <c r="C530" s="15"/>
    </row>
    <row r="531">
      <c r="A531" s="15"/>
      <c r="B531" s="15"/>
      <c r="C531" s="15"/>
    </row>
    <row r="532">
      <c r="A532" s="15"/>
      <c r="B532" s="15"/>
      <c r="C532" s="15"/>
    </row>
    <row r="533">
      <c r="A533" s="15"/>
      <c r="B533" s="15"/>
      <c r="C533" s="15"/>
    </row>
    <row r="534">
      <c r="A534" s="15"/>
      <c r="B534" s="15"/>
      <c r="C534" s="15"/>
    </row>
    <row r="535">
      <c r="A535" s="15"/>
      <c r="B535" s="15"/>
      <c r="C535" s="15"/>
    </row>
    <row r="536">
      <c r="A536" s="15"/>
      <c r="B536" s="15"/>
      <c r="C536" s="15"/>
    </row>
    <row r="537">
      <c r="A537" s="15"/>
      <c r="B537" s="15"/>
      <c r="C537" s="15"/>
    </row>
    <row r="538">
      <c r="A538" s="15"/>
      <c r="B538" s="15"/>
      <c r="C538" s="15"/>
    </row>
    <row r="539">
      <c r="A539" s="15"/>
      <c r="B539" s="15"/>
      <c r="C539" s="15"/>
    </row>
    <row r="540">
      <c r="A540" s="15"/>
      <c r="B540" s="15"/>
      <c r="C540" s="15"/>
    </row>
    <row r="541">
      <c r="A541" s="15"/>
      <c r="B541" s="15"/>
      <c r="C541" s="15"/>
    </row>
    <row r="542">
      <c r="A542" s="15"/>
      <c r="B542" s="15"/>
      <c r="C542" s="15"/>
    </row>
    <row r="543">
      <c r="A543" s="15"/>
      <c r="B543" s="15"/>
      <c r="C543" s="15"/>
    </row>
    <row r="544">
      <c r="A544" s="15"/>
      <c r="B544" s="15"/>
      <c r="C544" s="15"/>
    </row>
    <row r="545">
      <c r="A545" s="15"/>
      <c r="B545" s="15"/>
      <c r="C545" s="15"/>
    </row>
    <row r="546">
      <c r="A546" s="15"/>
      <c r="B546" s="15"/>
      <c r="C546" s="15"/>
    </row>
    <row r="547">
      <c r="A547" s="15"/>
      <c r="B547" s="15"/>
      <c r="C547" s="15"/>
    </row>
    <row r="548">
      <c r="A548" s="15"/>
      <c r="B548" s="15"/>
      <c r="C548" s="15"/>
    </row>
    <row r="549">
      <c r="A549" s="15"/>
      <c r="B549" s="15"/>
      <c r="C549" s="15"/>
    </row>
    <row r="550">
      <c r="A550" s="15"/>
      <c r="B550" s="15"/>
      <c r="C550" s="15"/>
    </row>
    <row r="551">
      <c r="A551" s="15"/>
      <c r="B551" s="15"/>
      <c r="C551" s="15"/>
    </row>
    <row r="552">
      <c r="A552" s="15"/>
      <c r="B552" s="15"/>
      <c r="C552" s="15"/>
    </row>
    <row r="553">
      <c r="A553" s="15"/>
      <c r="B553" s="15"/>
      <c r="C553" s="15"/>
    </row>
    <row r="554">
      <c r="A554" s="15"/>
      <c r="B554" s="15"/>
      <c r="C554" s="15"/>
    </row>
    <row r="555">
      <c r="A555" s="15"/>
      <c r="B555" s="15"/>
      <c r="C555" s="15"/>
    </row>
    <row r="556">
      <c r="A556" s="15"/>
      <c r="B556" s="15"/>
      <c r="C556" s="15"/>
    </row>
    <row r="557">
      <c r="A557" s="15"/>
      <c r="B557" s="15"/>
      <c r="C557" s="15"/>
    </row>
    <row r="558">
      <c r="A558" s="15"/>
      <c r="B558" s="15"/>
      <c r="C558" s="15"/>
    </row>
    <row r="559">
      <c r="A559" s="15"/>
      <c r="B559" s="15"/>
      <c r="C559" s="15"/>
    </row>
    <row r="560">
      <c r="A560" s="15"/>
      <c r="B560" s="15"/>
      <c r="C560" s="15"/>
    </row>
    <row r="561">
      <c r="A561" s="15"/>
      <c r="B561" s="15"/>
      <c r="C561" s="15"/>
    </row>
    <row r="562">
      <c r="A562" s="15"/>
      <c r="B562" s="15"/>
      <c r="C562" s="15"/>
    </row>
    <row r="563">
      <c r="A563" s="15"/>
      <c r="B563" s="15"/>
      <c r="C563" s="15"/>
    </row>
    <row r="564">
      <c r="A564" s="15"/>
      <c r="B564" s="15"/>
      <c r="C564" s="15"/>
    </row>
    <row r="565">
      <c r="A565" s="15"/>
      <c r="B565" s="15"/>
      <c r="C565" s="15"/>
    </row>
    <row r="566">
      <c r="A566" s="15"/>
      <c r="B566" s="15"/>
      <c r="C566" s="15"/>
    </row>
    <row r="567">
      <c r="A567" s="15"/>
      <c r="B567" s="15"/>
      <c r="C567" s="15"/>
    </row>
    <row r="568">
      <c r="A568" s="15"/>
      <c r="B568" s="15"/>
      <c r="C568" s="15"/>
    </row>
    <row r="569">
      <c r="A569" s="15"/>
      <c r="B569" s="15"/>
      <c r="C569" s="15"/>
    </row>
    <row r="570">
      <c r="A570" s="15"/>
      <c r="B570" s="15"/>
      <c r="C570" s="15"/>
    </row>
    <row r="571">
      <c r="A571" s="15"/>
      <c r="B571" s="15"/>
      <c r="C571" s="15"/>
    </row>
    <row r="572">
      <c r="A572" s="15"/>
      <c r="B572" s="15"/>
      <c r="C572" s="15"/>
    </row>
    <row r="573">
      <c r="A573" s="15"/>
      <c r="B573" s="15"/>
      <c r="C573" s="15"/>
    </row>
    <row r="574">
      <c r="A574" s="15"/>
      <c r="B574" s="15"/>
      <c r="C574" s="15"/>
    </row>
    <row r="575">
      <c r="A575" s="15"/>
      <c r="B575" s="15"/>
      <c r="C575" s="15"/>
    </row>
    <row r="576">
      <c r="A576" s="15"/>
      <c r="B576" s="15"/>
      <c r="C576" s="15"/>
    </row>
    <row r="577">
      <c r="A577" s="15"/>
      <c r="B577" s="15"/>
      <c r="C577" s="15"/>
    </row>
    <row r="578">
      <c r="A578" s="15"/>
      <c r="B578" s="15"/>
      <c r="C578" s="15"/>
    </row>
    <row r="579">
      <c r="A579" s="15"/>
      <c r="B579" s="15"/>
      <c r="C579" s="15"/>
    </row>
    <row r="580">
      <c r="A580" s="15"/>
      <c r="B580" s="15"/>
      <c r="C580" s="15"/>
    </row>
    <row r="581">
      <c r="A581" s="15"/>
      <c r="B581" s="15"/>
      <c r="C581" s="15"/>
    </row>
    <row r="582">
      <c r="A582" s="15"/>
      <c r="B582" s="15"/>
      <c r="C582" s="15"/>
    </row>
    <row r="583">
      <c r="A583" s="15"/>
      <c r="B583" s="15"/>
      <c r="C583" s="15"/>
    </row>
    <row r="584">
      <c r="A584" s="15"/>
      <c r="B584" s="15"/>
      <c r="C584" s="15"/>
    </row>
    <row r="585">
      <c r="A585" s="15"/>
      <c r="B585" s="15"/>
      <c r="C585" s="15"/>
    </row>
    <row r="586">
      <c r="A586" s="15"/>
      <c r="B586" s="15"/>
      <c r="C586" s="15"/>
    </row>
    <row r="587">
      <c r="A587" s="15"/>
      <c r="B587" s="15"/>
      <c r="C587" s="15"/>
    </row>
    <row r="588">
      <c r="A588" s="15"/>
      <c r="B588" s="15"/>
      <c r="C588" s="15"/>
    </row>
    <row r="589">
      <c r="A589" s="15"/>
      <c r="B589" s="15"/>
      <c r="C589" s="15"/>
    </row>
    <row r="590">
      <c r="A590" s="15"/>
      <c r="B590" s="15"/>
      <c r="C590" s="15"/>
    </row>
    <row r="591">
      <c r="A591" s="15"/>
      <c r="B591" s="15"/>
      <c r="C591" s="15"/>
    </row>
    <row r="592">
      <c r="A592" s="15"/>
      <c r="B592" s="15"/>
      <c r="C592" s="15"/>
    </row>
    <row r="593">
      <c r="A593" s="15"/>
      <c r="B593" s="15"/>
      <c r="C593" s="15"/>
    </row>
    <row r="594">
      <c r="A594" s="15"/>
      <c r="B594" s="15"/>
      <c r="C594" s="15"/>
    </row>
    <row r="595">
      <c r="A595" s="15"/>
      <c r="B595" s="15"/>
      <c r="C595" s="15"/>
    </row>
    <row r="596">
      <c r="A596" s="15"/>
      <c r="B596" s="15"/>
      <c r="C596" s="15"/>
    </row>
    <row r="597">
      <c r="A597" s="15"/>
      <c r="B597" s="15"/>
      <c r="C597" s="15"/>
    </row>
    <row r="598">
      <c r="A598" s="15"/>
      <c r="B598" s="15"/>
      <c r="C598" s="15"/>
    </row>
    <row r="599">
      <c r="A599" s="15"/>
      <c r="B599" s="15"/>
      <c r="C599" s="15"/>
    </row>
    <row r="600">
      <c r="A600" s="15"/>
      <c r="B600" s="15"/>
      <c r="C600" s="15"/>
    </row>
    <row r="601">
      <c r="A601" s="15"/>
      <c r="B601" s="15"/>
      <c r="C601" s="15"/>
    </row>
    <row r="602">
      <c r="A602" s="15"/>
      <c r="B602" s="15"/>
      <c r="C602" s="15"/>
    </row>
    <row r="603">
      <c r="A603" s="15"/>
      <c r="B603" s="15"/>
      <c r="C603" s="15"/>
    </row>
    <row r="604">
      <c r="A604" s="15"/>
      <c r="B604" s="15"/>
      <c r="C604" s="15"/>
    </row>
    <row r="605">
      <c r="A605" s="15"/>
      <c r="B605" s="15"/>
      <c r="C605" s="15"/>
    </row>
    <row r="606">
      <c r="A606" s="15"/>
      <c r="B606" s="15"/>
      <c r="C606" s="15"/>
    </row>
    <row r="607">
      <c r="A607" s="15"/>
      <c r="B607" s="15"/>
      <c r="C607" s="15"/>
    </row>
    <row r="608">
      <c r="A608" s="15"/>
      <c r="B608" s="15"/>
      <c r="C608" s="15"/>
    </row>
    <row r="609">
      <c r="A609" s="15"/>
      <c r="B609" s="15"/>
      <c r="C609" s="15"/>
    </row>
    <row r="610">
      <c r="A610" s="15"/>
      <c r="B610" s="15"/>
      <c r="C610" s="15"/>
    </row>
    <row r="611">
      <c r="A611" s="15"/>
      <c r="B611" s="15"/>
      <c r="C611" s="15"/>
    </row>
    <row r="612">
      <c r="A612" s="15"/>
      <c r="B612" s="15"/>
      <c r="C612" s="15"/>
    </row>
    <row r="613">
      <c r="A613" s="15"/>
      <c r="B613" s="15"/>
      <c r="C613" s="15"/>
    </row>
    <row r="614">
      <c r="A614" s="15"/>
      <c r="B614" s="15"/>
      <c r="C614" s="15"/>
    </row>
    <row r="615">
      <c r="A615" s="15"/>
      <c r="B615" s="15"/>
      <c r="C615" s="15"/>
    </row>
    <row r="616">
      <c r="A616" s="15"/>
      <c r="B616" s="15"/>
      <c r="C616" s="15"/>
    </row>
    <row r="617">
      <c r="A617" s="15"/>
      <c r="B617" s="15"/>
      <c r="C617" s="15"/>
    </row>
    <row r="618">
      <c r="A618" s="15"/>
      <c r="B618" s="15"/>
      <c r="C618" s="15"/>
    </row>
    <row r="619">
      <c r="A619" s="15"/>
      <c r="B619" s="15"/>
      <c r="C619" s="15"/>
    </row>
    <row r="620">
      <c r="A620" s="15"/>
      <c r="B620" s="15"/>
      <c r="C620" s="15"/>
    </row>
    <row r="621">
      <c r="A621" s="15"/>
      <c r="B621" s="15"/>
      <c r="C621" s="15"/>
    </row>
    <row r="622">
      <c r="A622" s="15"/>
      <c r="B622" s="15"/>
      <c r="C622" s="15"/>
    </row>
    <row r="623">
      <c r="A623" s="15"/>
      <c r="B623" s="15"/>
      <c r="C623" s="15"/>
    </row>
    <row r="624">
      <c r="A624" s="15"/>
      <c r="B624" s="15"/>
      <c r="C624" s="15"/>
    </row>
    <row r="625">
      <c r="A625" s="15"/>
      <c r="B625" s="15"/>
      <c r="C625" s="15"/>
    </row>
    <row r="626">
      <c r="A626" s="15"/>
      <c r="B626" s="15"/>
      <c r="C626" s="15"/>
    </row>
    <row r="627">
      <c r="A627" s="15"/>
      <c r="B627" s="15"/>
      <c r="C627" s="15"/>
    </row>
    <row r="628">
      <c r="A628" s="15"/>
      <c r="B628" s="15"/>
      <c r="C628" s="15"/>
    </row>
    <row r="629">
      <c r="A629" s="15"/>
      <c r="B629" s="15"/>
      <c r="C629" s="15"/>
    </row>
    <row r="630">
      <c r="A630" s="15"/>
      <c r="B630" s="15"/>
      <c r="C630" s="15"/>
    </row>
    <row r="631">
      <c r="A631" s="15"/>
      <c r="B631" s="15"/>
      <c r="C631" s="15"/>
    </row>
    <row r="632">
      <c r="A632" s="15"/>
      <c r="B632" s="15"/>
      <c r="C632" s="15"/>
    </row>
    <row r="633">
      <c r="A633" s="15"/>
      <c r="B633" s="15"/>
      <c r="C633" s="15"/>
    </row>
    <row r="634">
      <c r="A634" s="15"/>
      <c r="B634" s="15"/>
      <c r="C634" s="15"/>
    </row>
    <row r="635">
      <c r="A635" s="15"/>
      <c r="B635" s="15"/>
      <c r="C635" s="15"/>
    </row>
    <row r="636">
      <c r="A636" s="15"/>
      <c r="B636" s="15"/>
      <c r="C636" s="15"/>
    </row>
    <row r="637">
      <c r="A637" s="15"/>
      <c r="B637" s="15"/>
      <c r="C637" s="15"/>
    </row>
    <row r="638">
      <c r="A638" s="15"/>
      <c r="B638" s="15"/>
      <c r="C638" s="15"/>
    </row>
    <row r="639">
      <c r="A639" s="15"/>
      <c r="B639" s="15"/>
      <c r="C639" s="15"/>
    </row>
    <row r="640">
      <c r="A640" s="15"/>
      <c r="B640" s="15"/>
      <c r="C640" s="15"/>
    </row>
    <row r="641">
      <c r="A641" s="15"/>
      <c r="B641" s="15"/>
      <c r="C641" s="15"/>
    </row>
    <row r="642">
      <c r="A642" s="15"/>
      <c r="B642" s="15"/>
      <c r="C642" s="15"/>
    </row>
    <row r="643">
      <c r="A643" s="15"/>
      <c r="B643" s="15"/>
      <c r="C643" s="15"/>
    </row>
    <row r="644">
      <c r="A644" s="15"/>
      <c r="B644" s="15"/>
      <c r="C644" s="15"/>
    </row>
    <row r="645">
      <c r="A645" s="15"/>
      <c r="B645" s="15"/>
      <c r="C645" s="15"/>
    </row>
    <row r="646">
      <c r="A646" s="15"/>
      <c r="B646" s="15"/>
      <c r="C646" s="15"/>
    </row>
    <row r="647">
      <c r="A647" s="15"/>
      <c r="B647" s="15"/>
      <c r="C647" s="15"/>
    </row>
    <row r="648">
      <c r="A648" s="15"/>
      <c r="B648" s="15"/>
      <c r="C648" s="15"/>
    </row>
    <row r="649">
      <c r="A649" s="15"/>
      <c r="B649" s="15"/>
      <c r="C649" s="15"/>
    </row>
    <row r="650">
      <c r="A650" s="15"/>
      <c r="B650" s="15"/>
      <c r="C650" s="15"/>
    </row>
    <row r="651">
      <c r="A651" s="15"/>
      <c r="B651" s="15"/>
      <c r="C651" s="15"/>
    </row>
    <row r="652">
      <c r="A652" s="15"/>
      <c r="B652" s="15"/>
      <c r="C652" s="15"/>
    </row>
    <row r="653">
      <c r="A653" s="15"/>
      <c r="B653" s="15"/>
      <c r="C653" s="15"/>
    </row>
    <row r="654">
      <c r="A654" s="15"/>
      <c r="B654" s="15"/>
      <c r="C654" s="15"/>
    </row>
    <row r="655">
      <c r="A655" s="15"/>
      <c r="B655" s="15"/>
      <c r="C655" s="15"/>
    </row>
    <row r="656">
      <c r="A656" s="15"/>
      <c r="B656" s="15"/>
      <c r="C656" s="15"/>
    </row>
    <row r="657">
      <c r="A657" s="15"/>
      <c r="B657" s="15"/>
      <c r="C657" s="15"/>
    </row>
    <row r="658">
      <c r="A658" s="15"/>
      <c r="B658" s="15"/>
      <c r="C658" s="15"/>
    </row>
    <row r="659">
      <c r="A659" s="15"/>
      <c r="B659" s="15"/>
      <c r="C659" s="15"/>
    </row>
    <row r="660">
      <c r="A660" s="15"/>
      <c r="B660" s="15"/>
      <c r="C660" s="15"/>
    </row>
    <row r="661">
      <c r="A661" s="15"/>
      <c r="B661" s="15"/>
      <c r="C661" s="15"/>
    </row>
    <row r="662">
      <c r="A662" s="15"/>
      <c r="B662" s="15"/>
      <c r="C662" s="15"/>
    </row>
    <row r="663">
      <c r="A663" s="15"/>
      <c r="B663" s="15"/>
      <c r="C663" s="15"/>
    </row>
    <row r="664">
      <c r="A664" s="15"/>
      <c r="B664" s="15"/>
      <c r="C664" s="15"/>
    </row>
    <row r="665">
      <c r="A665" s="15"/>
      <c r="B665" s="15"/>
      <c r="C665" s="15"/>
    </row>
    <row r="666">
      <c r="A666" s="15"/>
      <c r="B666" s="15"/>
      <c r="C666" s="15"/>
    </row>
    <row r="667">
      <c r="A667" s="15"/>
      <c r="B667" s="15"/>
      <c r="C667" s="15"/>
    </row>
    <row r="668">
      <c r="A668" s="15"/>
      <c r="B668" s="15"/>
      <c r="C668" s="15"/>
    </row>
    <row r="669">
      <c r="A669" s="15"/>
      <c r="B669" s="15"/>
      <c r="C669" s="15"/>
    </row>
    <row r="670">
      <c r="A670" s="15"/>
      <c r="B670" s="15"/>
      <c r="C670" s="15"/>
    </row>
    <row r="671">
      <c r="A671" s="15"/>
      <c r="B671" s="15"/>
      <c r="C671" s="15"/>
    </row>
    <row r="672">
      <c r="A672" s="15"/>
      <c r="B672" s="15"/>
      <c r="C672" s="15"/>
    </row>
    <row r="673">
      <c r="A673" s="15"/>
      <c r="B673" s="15"/>
      <c r="C673" s="15"/>
    </row>
    <row r="674">
      <c r="A674" s="15"/>
      <c r="B674" s="15"/>
      <c r="C674" s="15"/>
    </row>
    <row r="675">
      <c r="A675" s="15"/>
      <c r="B675" s="15"/>
      <c r="C675" s="15"/>
    </row>
    <row r="676">
      <c r="A676" s="15"/>
      <c r="B676" s="15"/>
      <c r="C676" s="15"/>
    </row>
    <row r="677">
      <c r="A677" s="15"/>
      <c r="B677" s="15"/>
      <c r="C677" s="15"/>
    </row>
    <row r="678">
      <c r="A678" s="15"/>
      <c r="B678" s="15"/>
      <c r="C678" s="15"/>
    </row>
    <row r="679">
      <c r="A679" s="15"/>
      <c r="B679" s="15"/>
      <c r="C679" s="15"/>
    </row>
    <row r="680">
      <c r="A680" s="15"/>
      <c r="B680" s="15"/>
      <c r="C680" s="15"/>
    </row>
    <row r="681">
      <c r="A681" s="15"/>
      <c r="B681" s="15"/>
      <c r="C681" s="15"/>
    </row>
    <row r="682">
      <c r="A682" s="15"/>
      <c r="B682" s="15"/>
      <c r="C682" s="15"/>
    </row>
    <row r="683">
      <c r="A683" s="15"/>
      <c r="B683" s="15"/>
      <c r="C683" s="15"/>
    </row>
    <row r="684">
      <c r="A684" s="15"/>
      <c r="B684" s="15"/>
      <c r="C684" s="15"/>
    </row>
    <row r="685">
      <c r="A685" s="15"/>
      <c r="B685" s="15"/>
      <c r="C685" s="15"/>
    </row>
    <row r="686">
      <c r="A686" s="15"/>
      <c r="B686" s="15"/>
      <c r="C686" s="15"/>
    </row>
    <row r="687">
      <c r="A687" s="15"/>
      <c r="B687" s="15"/>
      <c r="C687" s="15"/>
    </row>
    <row r="688">
      <c r="A688" s="15"/>
      <c r="B688" s="15"/>
      <c r="C688" s="15"/>
    </row>
    <row r="689">
      <c r="A689" s="15"/>
      <c r="B689" s="15"/>
      <c r="C689" s="15"/>
    </row>
    <row r="690">
      <c r="A690" s="15"/>
      <c r="B690" s="15"/>
      <c r="C690" s="15"/>
    </row>
    <row r="691">
      <c r="A691" s="15"/>
      <c r="B691" s="15"/>
      <c r="C691" s="15"/>
    </row>
    <row r="692">
      <c r="A692" s="15"/>
      <c r="B692" s="15"/>
      <c r="C692" s="15"/>
    </row>
    <row r="693">
      <c r="A693" s="15"/>
      <c r="B693" s="15"/>
      <c r="C693" s="15"/>
    </row>
    <row r="694">
      <c r="A694" s="15"/>
      <c r="B694" s="15"/>
      <c r="C694" s="15"/>
    </row>
    <row r="695">
      <c r="A695" s="15"/>
      <c r="B695" s="15"/>
      <c r="C695" s="15"/>
    </row>
    <row r="696">
      <c r="A696" s="15"/>
      <c r="B696" s="15"/>
      <c r="C696" s="15"/>
    </row>
    <row r="697">
      <c r="A697" s="15"/>
      <c r="B697" s="15"/>
      <c r="C697" s="15"/>
    </row>
    <row r="698">
      <c r="A698" s="15"/>
      <c r="B698" s="15"/>
      <c r="C698" s="15"/>
    </row>
    <row r="699">
      <c r="A699" s="15"/>
      <c r="B699" s="15"/>
      <c r="C699" s="15"/>
    </row>
    <row r="700">
      <c r="A700" s="15"/>
      <c r="B700" s="15"/>
      <c r="C700" s="15"/>
    </row>
    <row r="701">
      <c r="A701" s="15"/>
      <c r="B701" s="15"/>
      <c r="C701" s="15"/>
    </row>
    <row r="702">
      <c r="A702" s="15"/>
      <c r="B702" s="15"/>
      <c r="C702" s="15"/>
    </row>
    <row r="703">
      <c r="A703" s="15"/>
      <c r="B703" s="15"/>
      <c r="C703" s="15"/>
    </row>
    <row r="704">
      <c r="A704" s="15"/>
      <c r="B704" s="15"/>
      <c r="C704" s="15"/>
    </row>
    <row r="705">
      <c r="A705" s="15"/>
      <c r="B705" s="15"/>
      <c r="C705" s="15"/>
    </row>
    <row r="706">
      <c r="A706" s="15"/>
      <c r="B706" s="15"/>
      <c r="C706" s="15"/>
    </row>
    <row r="707">
      <c r="A707" s="15"/>
      <c r="B707" s="15"/>
      <c r="C707" s="15"/>
    </row>
    <row r="708">
      <c r="A708" s="15"/>
      <c r="B708" s="15"/>
      <c r="C708" s="15"/>
    </row>
    <row r="709">
      <c r="A709" s="15"/>
      <c r="B709" s="15"/>
      <c r="C709" s="15"/>
    </row>
    <row r="710">
      <c r="A710" s="15"/>
      <c r="B710" s="15"/>
      <c r="C710" s="15"/>
    </row>
    <row r="711">
      <c r="A711" s="15"/>
      <c r="B711" s="15"/>
      <c r="C711" s="15"/>
    </row>
    <row r="712">
      <c r="A712" s="15"/>
      <c r="B712" s="15"/>
      <c r="C712" s="15"/>
    </row>
    <row r="713">
      <c r="A713" s="15"/>
      <c r="B713" s="15"/>
      <c r="C713" s="15"/>
    </row>
    <row r="714">
      <c r="A714" s="15"/>
      <c r="B714" s="15"/>
      <c r="C714" s="15"/>
    </row>
    <row r="715">
      <c r="A715" s="15"/>
      <c r="B715" s="15"/>
      <c r="C715" s="15"/>
    </row>
    <row r="716">
      <c r="A716" s="15"/>
      <c r="B716" s="15"/>
      <c r="C716" s="15"/>
    </row>
    <row r="717">
      <c r="A717" s="15"/>
      <c r="B717" s="15"/>
      <c r="C717" s="15"/>
    </row>
    <row r="718">
      <c r="A718" s="15"/>
      <c r="B718" s="15"/>
      <c r="C718" s="15"/>
    </row>
    <row r="719">
      <c r="A719" s="15"/>
      <c r="B719" s="15"/>
      <c r="C719" s="15"/>
    </row>
    <row r="720">
      <c r="A720" s="15"/>
      <c r="B720" s="15"/>
      <c r="C720" s="15"/>
    </row>
    <row r="721">
      <c r="A721" s="15"/>
      <c r="B721" s="15"/>
      <c r="C721" s="15"/>
    </row>
    <row r="722">
      <c r="A722" s="15"/>
      <c r="B722" s="15"/>
      <c r="C722" s="15"/>
    </row>
    <row r="723">
      <c r="A723" s="15"/>
      <c r="B723" s="15"/>
      <c r="C723" s="15"/>
    </row>
    <row r="724">
      <c r="A724" s="15"/>
      <c r="B724" s="15"/>
      <c r="C724" s="15"/>
    </row>
    <row r="725">
      <c r="A725" s="15"/>
      <c r="B725" s="15"/>
      <c r="C725" s="15"/>
    </row>
    <row r="726">
      <c r="A726" s="15"/>
      <c r="B726" s="15"/>
      <c r="C726" s="15"/>
    </row>
    <row r="727">
      <c r="A727" s="15"/>
      <c r="B727" s="15"/>
      <c r="C727" s="15"/>
    </row>
    <row r="728">
      <c r="A728" s="15"/>
      <c r="B728" s="15"/>
      <c r="C728" s="15"/>
    </row>
    <row r="729">
      <c r="A729" s="15"/>
      <c r="B729" s="15"/>
      <c r="C729" s="15"/>
    </row>
    <row r="730">
      <c r="A730" s="15"/>
      <c r="B730" s="15"/>
      <c r="C730" s="15"/>
    </row>
    <row r="731">
      <c r="A731" s="15"/>
      <c r="B731" s="15"/>
      <c r="C731" s="15"/>
    </row>
    <row r="732">
      <c r="A732" s="15"/>
      <c r="B732" s="15"/>
      <c r="C732" s="15"/>
    </row>
    <row r="733">
      <c r="A733" s="15"/>
      <c r="B733" s="15"/>
      <c r="C733" s="15"/>
    </row>
    <row r="734">
      <c r="A734" s="15"/>
      <c r="B734" s="15"/>
      <c r="C734" s="15"/>
    </row>
    <row r="735">
      <c r="A735" s="15"/>
      <c r="B735" s="15"/>
      <c r="C735" s="15"/>
    </row>
    <row r="736">
      <c r="A736" s="15"/>
      <c r="B736" s="15"/>
      <c r="C736" s="15"/>
    </row>
    <row r="737">
      <c r="A737" s="15"/>
      <c r="B737" s="15"/>
      <c r="C737" s="15"/>
    </row>
    <row r="738">
      <c r="A738" s="15"/>
      <c r="B738" s="15"/>
      <c r="C738" s="15"/>
    </row>
    <row r="739">
      <c r="A739" s="15"/>
      <c r="B739" s="15"/>
      <c r="C739" s="15"/>
    </row>
    <row r="740">
      <c r="A740" s="15"/>
      <c r="B740" s="15"/>
      <c r="C740" s="15"/>
    </row>
    <row r="741">
      <c r="A741" s="15"/>
      <c r="B741" s="15"/>
      <c r="C741" s="15"/>
    </row>
    <row r="742">
      <c r="A742" s="15"/>
      <c r="B742" s="15"/>
      <c r="C742" s="15"/>
    </row>
    <row r="743">
      <c r="A743" s="15"/>
      <c r="B743" s="15"/>
      <c r="C743" s="15"/>
    </row>
    <row r="744">
      <c r="A744" s="15"/>
      <c r="B744" s="15"/>
      <c r="C744" s="15"/>
    </row>
    <row r="745">
      <c r="A745" s="15"/>
      <c r="B745" s="15"/>
      <c r="C745" s="15"/>
    </row>
    <row r="746">
      <c r="A746" s="15"/>
      <c r="B746" s="15"/>
      <c r="C746" s="15"/>
    </row>
    <row r="747">
      <c r="A747" s="15"/>
      <c r="B747" s="15"/>
      <c r="C747" s="15"/>
    </row>
    <row r="748">
      <c r="A748" s="15"/>
      <c r="B748" s="15"/>
      <c r="C748" s="15"/>
    </row>
    <row r="749">
      <c r="A749" s="15"/>
      <c r="B749" s="15"/>
      <c r="C749" s="15"/>
    </row>
    <row r="750">
      <c r="A750" s="15"/>
      <c r="B750" s="15"/>
      <c r="C750" s="15"/>
    </row>
    <row r="751">
      <c r="A751" s="15"/>
      <c r="B751" s="15"/>
      <c r="C751" s="15"/>
    </row>
    <row r="752">
      <c r="A752" s="15"/>
      <c r="B752" s="15"/>
      <c r="C752" s="15"/>
    </row>
    <row r="753">
      <c r="A753" s="15"/>
      <c r="B753" s="15"/>
      <c r="C753" s="15"/>
    </row>
    <row r="754">
      <c r="A754" s="15"/>
      <c r="B754" s="15"/>
      <c r="C754" s="15"/>
    </row>
    <row r="755">
      <c r="A755" s="15"/>
      <c r="B755" s="15"/>
      <c r="C755" s="15"/>
    </row>
    <row r="756">
      <c r="A756" s="15"/>
      <c r="B756" s="15"/>
      <c r="C756" s="15"/>
    </row>
    <row r="757">
      <c r="A757" s="15"/>
      <c r="B757" s="15"/>
      <c r="C757" s="15"/>
    </row>
    <row r="758">
      <c r="A758" s="15"/>
      <c r="B758" s="15"/>
      <c r="C758" s="15"/>
    </row>
    <row r="759">
      <c r="A759" s="15"/>
      <c r="B759" s="15"/>
      <c r="C759" s="15"/>
    </row>
    <row r="760">
      <c r="A760" s="15"/>
      <c r="B760" s="15"/>
      <c r="C760" s="15"/>
    </row>
    <row r="761">
      <c r="A761" s="15"/>
      <c r="B761" s="15"/>
      <c r="C761" s="15"/>
    </row>
    <row r="762">
      <c r="A762" s="15"/>
      <c r="B762" s="15"/>
      <c r="C762" s="15"/>
    </row>
    <row r="763">
      <c r="A763" s="15"/>
      <c r="B763" s="15"/>
      <c r="C763" s="15"/>
    </row>
    <row r="764">
      <c r="A764" s="15"/>
      <c r="B764" s="15"/>
      <c r="C764" s="15"/>
    </row>
    <row r="765">
      <c r="A765" s="15"/>
      <c r="B765" s="15"/>
      <c r="C765" s="15"/>
    </row>
    <row r="766">
      <c r="A766" s="15"/>
      <c r="B766" s="15"/>
      <c r="C766" s="15"/>
    </row>
    <row r="767">
      <c r="A767" s="15"/>
      <c r="B767" s="15"/>
      <c r="C767" s="15"/>
    </row>
    <row r="768">
      <c r="A768" s="15"/>
      <c r="B768" s="15"/>
      <c r="C768" s="15"/>
    </row>
    <row r="769">
      <c r="A769" s="15"/>
      <c r="B769" s="15"/>
      <c r="C769" s="15"/>
    </row>
    <row r="770">
      <c r="A770" s="15"/>
      <c r="B770" s="15"/>
      <c r="C770" s="15"/>
    </row>
    <row r="771">
      <c r="A771" s="15"/>
      <c r="B771" s="15"/>
      <c r="C771" s="15"/>
    </row>
    <row r="772">
      <c r="A772" s="15"/>
      <c r="B772" s="15"/>
      <c r="C772" s="15"/>
    </row>
    <row r="773">
      <c r="A773" s="15"/>
      <c r="B773" s="15"/>
      <c r="C773" s="15"/>
    </row>
    <row r="774">
      <c r="A774" s="15"/>
      <c r="B774" s="15"/>
      <c r="C774" s="15"/>
    </row>
    <row r="775">
      <c r="A775" s="15"/>
      <c r="B775" s="15"/>
      <c r="C775" s="15"/>
    </row>
    <row r="776">
      <c r="A776" s="15"/>
      <c r="B776" s="15"/>
      <c r="C776" s="15"/>
    </row>
    <row r="777">
      <c r="A777" s="15"/>
      <c r="B777" s="15"/>
      <c r="C777" s="15"/>
    </row>
    <row r="778">
      <c r="A778" s="15"/>
      <c r="B778" s="15"/>
      <c r="C778" s="15"/>
    </row>
    <row r="779">
      <c r="A779" s="15"/>
      <c r="B779" s="15"/>
      <c r="C779" s="15"/>
    </row>
    <row r="780">
      <c r="A780" s="15"/>
      <c r="B780" s="15"/>
      <c r="C780" s="15"/>
    </row>
    <row r="781">
      <c r="A781" s="15"/>
      <c r="B781" s="15"/>
      <c r="C781" s="15"/>
    </row>
    <row r="782">
      <c r="A782" s="15"/>
      <c r="B782" s="15"/>
      <c r="C782" s="15"/>
    </row>
    <row r="783">
      <c r="A783" s="15"/>
      <c r="B783" s="15"/>
      <c r="C783" s="15"/>
    </row>
    <row r="784">
      <c r="A784" s="15"/>
      <c r="B784" s="15"/>
      <c r="C784" s="15"/>
    </row>
    <row r="785">
      <c r="A785" s="15"/>
      <c r="B785" s="15"/>
      <c r="C785" s="15"/>
    </row>
    <row r="786">
      <c r="A786" s="15"/>
      <c r="B786" s="15"/>
      <c r="C786" s="15"/>
    </row>
    <row r="787">
      <c r="A787" s="15"/>
      <c r="B787" s="15"/>
      <c r="C787" s="15"/>
    </row>
    <row r="788">
      <c r="A788" s="15"/>
      <c r="B788" s="15"/>
      <c r="C788" s="15"/>
    </row>
    <row r="789">
      <c r="A789" s="15"/>
      <c r="B789" s="15"/>
      <c r="C789" s="15"/>
    </row>
    <row r="790">
      <c r="A790" s="15"/>
      <c r="B790" s="15"/>
      <c r="C790" s="15"/>
    </row>
    <row r="791">
      <c r="A791" s="15"/>
      <c r="B791" s="15"/>
      <c r="C791" s="15"/>
    </row>
    <row r="792">
      <c r="A792" s="15"/>
      <c r="B792" s="15"/>
      <c r="C792" s="15"/>
    </row>
    <row r="793">
      <c r="A793" s="15"/>
      <c r="B793" s="15"/>
      <c r="C793" s="15"/>
    </row>
    <row r="794">
      <c r="A794" s="15"/>
      <c r="B794" s="15"/>
      <c r="C794" s="15"/>
    </row>
    <row r="795">
      <c r="A795" s="15"/>
      <c r="B795" s="15"/>
      <c r="C795" s="15"/>
    </row>
    <row r="796">
      <c r="A796" s="15"/>
      <c r="B796" s="15"/>
      <c r="C796" s="15"/>
    </row>
    <row r="797">
      <c r="A797" s="15"/>
      <c r="B797" s="15"/>
      <c r="C797" s="15"/>
    </row>
    <row r="798">
      <c r="A798" s="15"/>
      <c r="B798" s="15"/>
      <c r="C798" s="15"/>
    </row>
    <row r="799">
      <c r="A799" s="15"/>
      <c r="B799" s="15"/>
      <c r="C799" s="15"/>
    </row>
    <row r="800">
      <c r="A800" s="15"/>
      <c r="B800" s="15"/>
      <c r="C800" s="15"/>
    </row>
    <row r="801">
      <c r="A801" s="15"/>
      <c r="B801" s="15"/>
      <c r="C801" s="15"/>
    </row>
    <row r="802">
      <c r="A802" s="15"/>
      <c r="B802" s="15"/>
      <c r="C802" s="15"/>
    </row>
    <row r="803">
      <c r="A803" s="15"/>
      <c r="B803" s="15"/>
      <c r="C803" s="15"/>
    </row>
    <row r="804">
      <c r="A804" s="15"/>
      <c r="B804" s="15"/>
      <c r="C804" s="15"/>
    </row>
    <row r="805">
      <c r="A805" s="15"/>
      <c r="B805" s="15"/>
      <c r="C805" s="15"/>
    </row>
    <row r="806">
      <c r="A806" s="15"/>
      <c r="B806" s="15"/>
      <c r="C806" s="15"/>
    </row>
    <row r="807">
      <c r="A807" s="15"/>
      <c r="B807" s="15"/>
      <c r="C807" s="15"/>
    </row>
    <row r="808">
      <c r="A808" s="15"/>
      <c r="B808" s="15"/>
      <c r="C808" s="15"/>
    </row>
    <row r="809">
      <c r="A809" s="15"/>
      <c r="B809" s="15"/>
      <c r="C809" s="15"/>
    </row>
    <row r="810">
      <c r="A810" s="15"/>
      <c r="B810" s="15"/>
      <c r="C810" s="15"/>
    </row>
    <row r="811">
      <c r="A811" s="15"/>
      <c r="B811" s="15"/>
      <c r="C811" s="15"/>
    </row>
    <row r="812">
      <c r="A812" s="15"/>
      <c r="B812" s="15"/>
      <c r="C812" s="15"/>
    </row>
    <row r="813">
      <c r="A813" s="15"/>
      <c r="B813" s="15"/>
      <c r="C813" s="15"/>
    </row>
    <row r="814">
      <c r="A814" s="15"/>
      <c r="B814" s="15"/>
      <c r="C814" s="15"/>
    </row>
    <row r="815">
      <c r="A815" s="15"/>
      <c r="B815" s="15"/>
      <c r="C815" s="15"/>
    </row>
    <row r="816">
      <c r="A816" s="15"/>
      <c r="B816" s="15"/>
      <c r="C816" s="15"/>
    </row>
    <row r="817">
      <c r="A817" s="15"/>
      <c r="B817" s="15"/>
      <c r="C817" s="15"/>
    </row>
    <row r="818">
      <c r="A818" s="15"/>
      <c r="B818" s="15"/>
      <c r="C818" s="15"/>
    </row>
    <row r="819">
      <c r="A819" s="15"/>
      <c r="B819" s="15"/>
      <c r="C819" s="15"/>
    </row>
    <row r="820">
      <c r="A820" s="15"/>
      <c r="B820" s="15"/>
      <c r="C820" s="15"/>
    </row>
    <row r="821">
      <c r="A821" s="15"/>
      <c r="B821" s="15"/>
      <c r="C821" s="15"/>
    </row>
    <row r="822">
      <c r="A822" s="15"/>
      <c r="B822" s="15"/>
      <c r="C822" s="15"/>
    </row>
    <row r="823">
      <c r="A823" s="15"/>
      <c r="B823" s="15"/>
      <c r="C823" s="15"/>
    </row>
    <row r="824">
      <c r="A824" s="15"/>
      <c r="B824" s="15"/>
      <c r="C824" s="15"/>
    </row>
    <row r="825">
      <c r="A825" s="15"/>
      <c r="B825" s="15"/>
      <c r="C825" s="15"/>
    </row>
    <row r="826">
      <c r="A826" s="15"/>
      <c r="B826" s="15"/>
      <c r="C826" s="15"/>
    </row>
    <row r="827">
      <c r="A827" s="15"/>
      <c r="B827" s="15"/>
      <c r="C827" s="15"/>
    </row>
    <row r="828">
      <c r="A828" s="15"/>
      <c r="B828" s="15"/>
      <c r="C828" s="15"/>
    </row>
    <row r="829">
      <c r="A829" s="15"/>
      <c r="B829" s="15"/>
      <c r="C829" s="15"/>
    </row>
    <row r="830">
      <c r="A830" s="15"/>
      <c r="B830" s="15"/>
      <c r="C830" s="15"/>
    </row>
    <row r="831">
      <c r="A831" s="15"/>
      <c r="B831" s="15"/>
      <c r="C831" s="15"/>
    </row>
    <row r="832">
      <c r="A832" s="15"/>
      <c r="B832" s="15"/>
      <c r="C832" s="15"/>
    </row>
    <row r="833">
      <c r="A833" s="15"/>
      <c r="B833" s="15"/>
      <c r="C833" s="15"/>
    </row>
    <row r="834">
      <c r="A834" s="15"/>
      <c r="B834" s="15"/>
      <c r="C834" s="15"/>
    </row>
    <row r="835">
      <c r="A835" s="15"/>
      <c r="B835" s="15"/>
      <c r="C835" s="15"/>
    </row>
    <row r="836">
      <c r="A836" s="15"/>
      <c r="B836" s="15"/>
      <c r="C836" s="15"/>
    </row>
    <row r="837">
      <c r="A837" s="15"/>
      <c r="B837" s="15"/>
      <c r="C837" s="15"/>
    </row>
    <row r="838">
      <c r="A838" s="15"/>
      <c r="B838" s="15"/>
      <c r="C838" s="15"/>
    </row>
    <row r="839">
      <c r="A839" s="15"/>
      <c r="B839" s="15"/>
      <c r="C839" s="15"/>
    </row>
    <row r="840">
      <c r="A840" s="15"/>
      <c r="B840" s="15"/>
      <c r="C840" s="15"/>
    </row>
    <row r="841">
      <c r="A841" s="15"/>
      <c r="B841" s="15"/>
      <c r="C841" s="15"/>
    </row>
    <row r="842">
      <c r="A842" s="15"/>
      <c r="B842" s="15"/>
      <c r="C842" s="15"/>
    </row>
    <row r="843">
      <c r="A843" s="15"/>
      <c r="B843" s="15"/>
      <c r="C843" s="15"/>
    </row>
    <row r="844">
      <c r="A844" s="15"/>
      <c r="B844" s="15"/>
      <c r="C844" s="15"/>
    </row>
    <row r="845">
      <c r="A845" s="15"/>
      <c r="B845" s="15"/>
      <c r="C845" s="15"/>
    </row>
    <row r="846">
      <c r="A846" s="15"/>
      <c r="B846" s="15"/>
      <c r="C846" s="15"/>
    </row>
    <row r="847">
      <c r="A847" s="15"/>
      <c r="B847" s="15"/>
      <c r="C847" s="15"/>
    </row>
    <row r="848">
      <c r="A848" s="15"/>
      <c r="B848" s="15"/>
      <c r="C848" s="15"/>
    </row>
    <row r="849">
      <c r="A849" s="15"/>
      <c r="B849" s="15"/>
      <c r="C849" s="15"/>
    </row>
    <row r="850">
      <c r="A850" s="15"/>
      <c r="B850" s="15"/>
      <c r="C850" s="15"/>
    </row>
    <row r="851">
      <c r="A851" s="15"/>
      <c r="B851" s="15"/>
      <c r="C851" s="15"/>
    </row>
    <row r="852">
      <c r="A852" s="15"/>
      <c r="B852" s="15"/>
      <c r="C852" s="15"/>
    </row>
    <row r="853">
      <c r="A853" s="15"/>
      <c r="B853" s="15"/>
      <c r="C853" s="15"/>
    </row>
    <row r="854">
      <c r="A854" s="15"/>
      <c r="B854" s="15"/>
      <c r="C854" s="15"/>
    </row>
    <row r="855">
      <c r="A855" s="15"/>
      <c r="B855" s="15"/>
      <c r="C855" s="15"/>
    </row>
    <row r="856">
      <c r="A856" s="15"/>
      <c r="B856" s="15"/>
      <c r="C856" s="15"/>
    </row>
    <row r="857">
      <c r="A857" s="15"/>
      <c r="B857" s="15"/>
      <c r="C857" s="15"/>
    </row>
    <row r="858">
      <c r="A858" s="15"/>
      <c r="B858" s="15"/>
      <c r="C858" s="15"/>
    </row>
    <row r="859">
      <c r="A859" s="15"/>
      <c r="B859" s="15"/>
      <c r="C859" s="15"/>
    </row>
    <row r="860">
      <c r="A860" s="15"/>
      <c r="B860" s="15"/>
      <c r="C860" s="15"/>
    </row>
    <row r="861">
      <c r="A861" s="15"/>
      <c r="B861" s="15"/>
      <c r="C861" s="15"/>
    </row>
    <row r="862">
      <c r="A862" s="15"/>
      <c r="B862" s="15"/>
      <c r="C862" s="15"/>
    </row>
    <row r="863">
      <c r="A863" s="15"/>
      <c r="B863" s="15"/>
      <c r="C863" s="15"/>
    </row>
    <row r="864">
      <c r="A864" s="15"/>
      <c r="B864" s="15"/>
      <c r="C864" s="15"/>
    </row>
    <row r="865">
      <c r="A865" s="15"/>
      <c r="B865" s="15"/>
      <c r="C865" s="15"/>
    </row>
    <row r="866">
      <c r="A866" s="15"/>
      <c r="B866" s="15"/>
      <c r="C866" s="15"/>
    </row>
    <row r="867">
      <c r="A867" s="15"/>
      <c r="B867" s="15"/>
      <c r="C867" s="15"/>
    </row>
    <row r="868">
      <c r="A868" s="15"/>
      <c r="B868" s="15"/>
      <c r="C868" s="15"/>
    </row>
    <row r="869">
      <c r="A869" s="15"/>
      <c r="B869" s="15"/>
      <c r="C869" s="15"/>
    </row>
    <row r="870">
      <c r="A870" s="15"/>
      <c r="B870" s="15"/>
      <c r="C870" s="15"/>
    </row>
    <row r="871">
      <c r="A871" s="15"/>
      <c r="B871" s="15"/>
      <c r="C871" s="15"/>
    </row>
    <row r="872">
      <c r="A872" s="15"/>
      <c r="B872" s="15"/>
      <c r="C872" s="15"/>
    </row>
    <row r="873">
      <c r="A873" s="15"/>
      <c r="B873" s="15"/>
      <c r="C873" s="15"/>
    </row>
    <row r="874">
      <c r="A874" s="15"/>
      <c r="B874" s="15"/>
      <c r="C874" s="15"/>
    </row>
    <row r="875">
      <c r="A875" s="15"/>
      <c r="B875" s="15"/>
      <c r="C875" s="15"/>
    </row>
    <row r="876">
      <c r="A876" s="15"/>
      <c r="B876" s="15"/>
      <c r="C876" s="15"/>
    </row>
    <row r="877">
      <c r="A877" s="15"/>
      <c r="B877" s="15"/>
      <c r="C877" s="15"/>
    </row>
    <row r="878">
      <c r="A878" s="15"/>
      <c r="B878" s="15"/>
      <c r="C878" s="15"/>
    </row>
    <row r="879">
      <c r="A879" s="15"/>
      <c r="B879" s="15"/>
      <c r="C879" s="15"/>
    </row>
    <row r="880">
      <c r="A880" s="15"/>
      <c r="B880" s="15"/>
      <c r="C880" s="15"/>
    </row>
    <row r="881">
      <c r="A881" s="15"/>
      <c r="B881" s="15"/>
      <c r="C881" s="15"/>
    </row>
    <row r="882">
      <c r="A882" s="15"/>
      <c r="B882" s="15"/>
      <c r="C882" s="15"/>
    </row>
    <row r="883">
      <c r="A883" s="15"/>
      <c r="B883" s="15"/>
      <c r="C883" s="15"/>
    </row>
    <row r="884">
      <c r="A884" s="15"/>
      <c r="B884" s="15"/>
      <c r="C884" s="15"/>
    </row>
    <row r="885">
      <c r="A885" s="15"/>
      <c r="B885" s="15"/>
      <c r="C885" s="15"/>
    </row>
    <row r="886">
      <c r="A886" s="15"/>
      <c r="B886" s="15"/>
      <c r="C886" s="15"/>
    </row>
    <row r="887">
      <c r="A887" s="15"/>
      <c r="B887" s="15"/>
      <c r="C887" s="15"/>
    </row>
    <row r="888">
      <c r="A888" s="15"/>
      <c r="B888" s="15"/>
      <c r="C888" s="15"/>
    </row>
    <row r="889">
      <c r="A889" s="15"/>
      <c r="B889" s="15"/>
      <c r="C889" s="15"/>
    </row>
    <row r="890">
      <c r="A890" s="15"/>
      <c r="B890" s="15"/>
      <c r="C890" s="15"/>
    </row>
    <row r="891">
      <c r="A891" s="15"/>
      <c r="B891" s="15"/>
      <c r="C891" s="15"/>
    </row>
    <row r="892">
      <c r="A892" s="15"/>
      <c r="B892" s="15"/>
      <c r="C892" s="15"/>
    </row>
    <row r="893">
      <c r="A893" s="15"/>
      <c r="B893" s="15"/>
      <c r="C893" s="15"/>
    </row>
    <row r="894">
      <c r="A894" s="15"/>
      <c r="B894" s="15"/>
      <c r="C894" s="15"/>
    </row>
    <row r="895">
      <c r="A895" s="15"/>
      <c r="B895" s="15"/>
      <c r="C895" s="15"/>
    </row>
    <row r="896">
      <c r="A896" s="15"/>
      <c r="B896" s="15"/>
      <c r="C896" s="15"/>
    </row>
    <row r="897">
      <c r="A897" s="15"/>
      <c r="B897" s="15"/>
      <c r="C897" s="15"/>
    </row>
    <row r="898">
      <c r="A898" s="15"/>
      <c r="B898" s="15"/>
      <c r="C898" s="15"/>
    </row>
    <row r="899">
      <c r="A899" s="15"/>
      <c r="B899" s="15"/>
      <c r="C899" s="15"/>
    </row>
    <row r="900">
      <c r="A900" s="15"/>
      <c r="B900" s="15"/>
      <c r="C900" s="15"/>
    </row>
    <row r="901">
      <c r="A901" s="15"/>
      <c r="B901" s="15"/>
      <c r="C901" s="15"/>
    </row>
    <row r="902">
      <c r="A902" s="15"/>
      <c r="B902" s="15"/>
      <c r="C902" s="15"/>
    </row>
    <row r="903">
      <c r="A903" s="15"/>
      <c r="B903" s="15"/>
      <c r="C903" s="15"/>
    </row>
    <row r="904">
      <c r="A904" s="15"/>
      <c r="B904" s="15"/>
      <c r="C904" s="15"/>
    </row>
    <row r="905">
      <c r="A905" s="15"/>
      <c r="B905" s="15"/>
      <c r="C905" s="15"/>
    </row>
    <row r="906">
      <c r="A906" s="15"/>
      <c r="B906" s="15"/>
      <c r="C906" s="15"/>
    </row>
    <row r="907">
      <c r="A907" s="15"/>
      <c r="B907" s="15"/>
      <c r="C907" s="15"/>
    </row>
    <row r="908">
      <c r="A908" s="15"/>
      <c r="B908" s="15"/>
      <c r="C908" s="15"/>
    </row>
    <row r="909">
      <c r="A909" s="15"/>
      <c r="B909" s="15"/>
      <c r="C909" s="15"/>
    </row>
    <row r="910">
      <c r="A910" s="15"/>
      <c r="B910" s="15"/>
      <c r="C910" s="15"/>
    </row>
    <row r="911">
      <c r="A911" s="15"/>
      <c r="B911" s="15"/>
      <c r="C911" s="15"/>
    </row>
    <row r="912">
      <c r="A912" s="15"/>
      <c r="B912" s="15"/>
      <c r="C912" s="15"/>
    </row>
    <row r="913">
      <c r="A913" s="15"/>
      <c r="B913" s="15"/>
      <c r="C913" s="15"/>
    </row>
    <row r="914">
      <c r="A914" s="15"/>
      <c r="B914" s="15"/>
      <c r="C914" s="15"/>
    </row>
    <row r="915">
      <c r="A915" s="15"/>
      <c r="B915" s="15"/>
      <c r="C915" s="15"/>
    </row>
    <row r="916">
      <c r="A916" s="15"/>
      <c r="B916" s="15"/>
      <c r="C916" s="15"/>
    </row>
    <row r="917">
      <c r="A917" s="15"/>
      <c r="B917" s="15"/>
      <c r="C917" s="15"/>
    </row>
    <row r="918">
      <c r="A918" s="15"/>
      <c r="B918" s="15"/>
      <c r="C918" s="15"/>
    </row>
    <row r="919">
      <c r="A919" s="15"/>
      <c r="B919" s="15"/>
      <c r="C919" s="15"/>
    </row>
    <row r="920">
      <c r="A920" s="15"/>
      <c r="B920" s="15"/>
      <c r="C920" s="15"/>
    </row>
    <row r="921">
      <c r="A921" s="15"/>
      <c r="B921" s="15"/>
      <c r="C921" s="15"/>
    </row>
    <row r="922">
      <c r="A922" s="15"/>
      <c r="B922" s="15"/>
      <c r="C922" s="15"/>
    </row>
    <row r="923">
      <c r="A923" s="15"/>
      <c r="B923" s="15"/>
      <c r="C923" s="15"/>
    </row>
    <row r="924">
      <c r="A924" s="15"/>
      <c r="B924" s="15"/>
      <c r="C924" s="15"/>
    </row>
    <row r="925">
      <c r="A925" s="15"/>
      <c r="B925" s="15"/>
      <c r="C925" s="15"/>
    </row>
    <row r="926">
      <c r="A926" s="15"/>
      <c r="B926" s="15"/>
      <c r="C926" s="15"/>
    </row>
    <row r="927">
      <c r="A927" s="15"/>
      <c r="B927" s="15"/>
      <c r="C927" s="15"/>
    </row>
    <row r="928">
      <c r="A928" s="15"/>
      <c r="B928" s="15"/>
      <c r="C928" s="15"/>
    </row>
    <row r="929">
      <c r="A929" s="15"/>
      <c r="B929" s="15"/>
      <c r="C929" s="15"/>
    </row>
    <row r="930">
      <c r="A930" s="15"/>
      <c r="B930" s="15"/>
      <c r="C930" s="15"/>
    </row>
    <row r="931">
      <c r="A931" s="15"/>
      <c r="B931" s="15"/>
      <c r="C931" s="15"/>
    </row>
    <row r="932">
      <c r="A932" s="15"/>
      <c r="B932" s="15"/>
      <c r="C932" s="15"/>
    </row>
    <row r="933">
      <c r="A933" s="15"/>
      <c r="B933" s="15"/>
      <c r="C933" s="15"/>
    </row>
    <row r="934">
      <c r="A934" s="15"/>
      <c r="B934" s="15"/>
      <c r="C934" s="15"/>
    </row>
    <row r="935">
      <c r="A935" s="15"/>
      <c r="B935" s="15"/>
      <c r="C935" s="15"/>
    </row>
    <row r="936">
      <c r="A936" s="15"/>
      <c r="B936" s="15"/>
      <c r="C936" s="15"/>
    </row>
    <row r="937">
      <c r="A937" s="15"/>
      <c r="B937" s="15"/>
      <c r="C937" s="15"/>
    </row>
    <row r="938">
      <c r="A938" s="15"/>
      <c r="B938" s="15"/>
      <c r="C938" s="15"/>
    </row>
    <row r="939">
      <c r="A939" s="15"/>
      <c r="B939" s="15"/>
      <c r="C939" s="15"/>
    </row>
    <row r="940">
      <c r="A940" s="15"/>
      <c r="B940" s="15"/>
      <c r="C940" s="15"/>
    </row>
    <row r="941">
      <c r="A941" s="15"/>
      <c r="B941" s="15"/>
      <c r="C941" s="15"/>
    </row>
    <row r="942">
      <c r="A942" s="15"/>
      <c r="B942" s="15"/>
      <c r="C942" s="15"/>
    </row>
    <row r="943">
      <c r="A943" s="15"/>
      <c r="B943" s="15"/>
      <c r="C943" s="15"/>
    </row>
    <row r="944">
      <c r="A944" s="15"/>
      <c r="B944" s="15"/>
      <c r="C944" s="15"/>
    </row>
    <row r="945">
      <c r="A945" s="15"/>
      <c r="B945" s="15"/>
      <c r="C945" s="15"/>
    </row>
    <row r="946">
      <c r="A946" s="15"/>
      <c r="B946" s="15"/>
      <c r="C946" s="15"/>
    </row>
    <row r="947">
      <c r="A947" s="15"/>
      <c r="B947" s="15"/>
      <c r="C947" s="15"/>
    </row>
    <row r="948">
      <c r="A948" s="15"/>
      <c r="B948" s="15"/>
      <c r="C948" s="15"/>
    </row>
    <row r="949">
      <c r="A949" s="15"/>
      <c r="B949" s="15"/>
      <c r="C949" s="15"/>
    </row>
    <row r="950">
      <c r="A950" s="15"/>
      <c r="B950" s="15"/>
      <c r="C950" s="15"/>
    </row>
    <row r="951">
      <c r="A951" s="15"/>
      <c r="B951" s="15"/>
      <c r="C951" s="15"/>
    </row>
    <row r="952">
      <c r="A952" s="15"/>
      <c r="B952" s="15"/>
      <c r="C952" s="15"/>
    </row>
    <row r="953">
      <c r="A953" s="15"/>
      <c r="B953" s="15"/>
      <c r="C953" s="15"/>
    </row>
    <row r="954">
      <c r="A954" s="15"/>
      <c r="B954" s="15"/>
      <c r="C954" s="15"/>
    </row>
    <row r="955">
      <c r="A955" s="15"/>
      <c r="B955" s="15"/>
      <c r="C955" s="15"/>
    </row>
    <row r="956">
      <c r="A956" s="15"/>
      <c r="B956" s="15"/>
      <c r="C956" s="15"/>
    </row>
    <row r="957">
      <c r="A957" s="15"/>
      <c r="B957" s="15"/>
      <c r="C957" s="15"/>
    </row>
    <row r="958">
      <c r="A958" s="15"/>
      <c r="B958" s="15"/>
      <c r="C958" s="15"/>
    </row>
    <row r="959">
      <c r="A959" s="15"/>
      <c r="B959" s="15"/>
      <c r="C959" s="15"/>
    </row>
    <row r="960">
      <c r="A960" s="15"/>
      <c r="B960" s="15"/>
      <c r="C960" s="15"/>
    </row>
    <row r="961">
      <c r="A961" s="15"/>
      <c r="B961" s="15"/>
      <c r="C961" s="15"/>
    </row>
    <row r="962">
      <c r="A962" s="15"/>
      <c r="B962" s="15"/>
      <c r="C962" s="15"/>
    </row>
    <row r="963">
      <c r="A963" s="15"/>
      <c r="B963" s="15"/>
      <c r="C963" s="15"/>
    </row>
    <row r="964">
      <c r="A964" s="15"/>
      <c r="B964" s="15"/>
      <c r="C964" s="15"/>
    </row>
    <row r="965">
      <c r="A965" s="15"/>
      <c r="B965" s="15"/>
      <c r="C965" s="15"/>
    </row>
    <row r="966">
      <c r="A966" s="15"/>
      <c r="B966" s="15"/>
      <c r="C966" s="15"/>
    </row>
    <row r="967">
      <c r="A967" s="15"/>
      <c r="B967" s="15"/>
      <c r="C967" s="15"/>
    </row>
    <row r="968">
      <c r="A968" s="15"/>
      <c r="B968" s="15"/>
      <c r="C968" s="15"/>
    </row>
    <row r="969">
      <c r="A969" s="15"/>
      <c r="B969" s="15"/>
      <c r="C969" s="15"/>
    </row>
    <row r="970">
      <c r="A970" s="15"/>
      <c r="B970" s="15"/>
      <c r="C970" s="15"/>
    </row>
    <row r="971">
      <c r="A971" s="15"/>
      <c r="B971" s="15"/>
      <c r="C971" s="15"/>
    </row>
    <row r="972">
      <c r="A972" s="15"/>
      <c r="B972" s="15"/>
      <c r="C972" s="15"/>
    </row>
    <row r="973">
      <c r="A973" s="15"/>
      <c r="B973" s="15"/>
      <c r="C973" s="15"/>
    </row>
    <row r="974">
      <c r="A974" s="15"/>
      <c r="B974" s="15"/>
      <c r="C974" s="15"/>
    </row>
    <row r="975">
      <c r="A975" s="15"/>
      <c r="B975" s="15"/>
      <c r="C975" s="15"/>
    </row>
    <row r="976">
      <c r="A976" s="15"/>
      <c r="B976" s="15"/>
      <c r="C976" s="15"/>
    </row>
    <row r="977">
      <c r="A977" s="15"/>
      <c r="B977" s="15"/>
      <c r="C977" s="15"/>
    </row>
    <row r="978">
      <c r="A978" s="15"/>
      <c r="B978" s="15"/>
      <c r="C978" s="15"/>
    </row>
    <row r="979">
      <c r="A979" s="15"/>
      <c r="B979" s="15"/>
      <c r="C979" s="15"/>
    </row>
    <row r="980">
      <c r="A980" s="15"/>
      <c r="B980" s="15"/>
      <c r="C980" s="15"/>
    </row>
    <row r="981">
      <c r="A981" s="15"/>
      <c r="B981" s="15"/>
      <c r="C981" s="15"/>
    </row>
    <row r="982">
      <c r="A982" s="15"/>
      <c r="B982" s="15"/>
      <c r="C982" s="15"/>
    </row>
    <row r="983">
      <c r="A983" s="15"/>
      <c r="B983" s="15"/>
      <c r="C983" s="15"/>
    </row>
    <row r="984">
      <c r="A984" s="15"/>
      <c r="B984" s="15"/>
      <c r="C984" s="15"/>
    </row>
    <row r="985">
      <c r="A985" s="15"/>
      <c r="B985" s="15"/>
      <c r="C985" s="15"/>
    </row>
    <row r="986">
      <c r="A986" s="15"/>
      <c r="B986" s="15"/>
      <c r="C986" s="15"/>
    </row>
    <row r="987">
      <c r="A987" s="15"/>
      <c r="B987" s="15"/>
      <c r="C987" s="15"/>
    </row>
    <row r="988">
      <c r="A988" s="15"/>
      <c r="B988" s="15"/>
      <c r="C988" s="15"/>
    </row>
    <row r="989">
      <c r="A989" s="15"/>
      <c r="B989" s="15"/>
      <c r="C989" s="15"/>
    </row>
    <row r="990">
      <c r="A990" s="15"/>
      <c r="B990" s="15"/>
      <c r="C990" s="15"/>
    </row>
    <row r="991">
      <c r="A991" s="15"/>
      <c r="B991" s="15"/>
      <c r="C991" s="15"/>
    </row>
    <row r="992">
      <c r="A992" s="15"/>
      <c r="B992" s="15"/>
      <c r="C992" s="15"/>
    </row>
    <row r="993">
      <c r="A993" s="15"/>
      <c r="B993" s="15"/>
      <c r="C993" s="15"/>
    </row>
    <row r="994">
      <c r="A994" s="15"/>
      <c r="B994" s="15"/>
      <c r="C994" s="15"/>
    </row>
    <row r="995">
      <c r="A995" s="15"/>
      <c r="B995" s="15"/>
      <c r="C995" s="15"/>
    </row>
    <row r="996">
      <c r="A996" s="15"/>
      <c r="B996" s="15"/>
      <c r="C996" s="15"/>
    </row>
    <row r="997">
      <c r="A997" s="15"/>
      <c r="B997" s="15"/>
      <c r="C997" s="15"/>
    </row>
    <row r="998">
      <c r="A998" s="15"/>
      <c r="B998" s="15"/>
      <c r="C998" s="15"/>
    </row>
    <row r="999">
      <c r="A999" s="15"/>
      <c r="B999" s="15"/>
      <c r="C999" s="15"/>
    </row>
    <row r="1000">
      <c r="A1000" s="15"/>
      <c r="B1000" s="15"/>
      <c r="C1000" s="15"/>
    </row>
  </sheetData>
  <drawing r:id="rId1"/>
</worksheet>
</file>